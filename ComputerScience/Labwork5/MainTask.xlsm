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<sst xmlns="http://schemas.openxmlformats.org/spreadsheetml/2006/main" count="158" uniqueCount="68">
  <si>
    <t xml:space="preserve">A=</t>
  </si>
  <si>
    <t xml:space="preserve">С=</t>
  </si>
  <si>
    <t xml:space="preserve">Результат коррекный</t>
  </si>
  <si>
    <t xml:space="preserve">ОДЗ:</t>
  </si>
  <si>
    <r>
      <rPr>
        <sz val="11"/>
        <color theme="1"/>
        <rFont val="Calibri"/>
        <family val="2"/>
        <charset val="204"/>
      </rPr>
      <t xml:space="preserve">[-2</t>
    </r>
    <r>
      <rPr>
        <vertAlign val="superscript"/>
        <sz val="11"/>
        <color theme="1"/>
        <rFont val="Calibri"/>
        <family val="2"/>
        <charset val="204"/>
      </rPr>
      <t xml:space="preserve">15</t>
    </r>
    <r>
      <rPr>
        <sz val="11"/>
        <color theme="1"/>
        <rFont val="Calibri"/>
        <family val="2"/>
        <charset val="204"/>
      </rPr>
      <t xml:space="preserve">;2</t>
    </r>
    <r>
      <rPr>
        <vertAlign val="superscript"/>
        <sz val="11"/>
        <color theme="1"/>
        <rFont val="Calibri"/>
        <family val="2"/>
        <charset val="204"/>
      </rPr>
      <t xml:space="preserve">15</t>
    </r>
    <r>
      <rPr>
        <sz val="11"/>
        <color theme="1"/>
        <rFont val="Calibri"/>
        <family val="2"/>
        <charset val="204"/>
      </rPr>
      <t xml:space="preserve">-1]</t>
    </r>
  </si>
  <si>
    <t xml:space="preserve">При сложении положительных чисел получен отрицательный результат ПЕРЕПОЛНЕНИЕ!</t>
  </si>
  <si>
    <t xml:space="preserve">X1=</t>
  </si>
  <si>
    <t xml:space="preserve">B1 = </t>
  </si>
  <si>
    <t xml:space="preserve">Результат корректный. Перенос из старшего разряда не учитывается</t>
  </si>
  <si>
    <t xml:space="preserve">X2=</t>
  </si>
  <si>
    <t xml:space="preserve">C=</t>
  </si>
  <si>
    <t xml:space="preserve">B2 =</t>
  </si>
  <si>
    <t xml:space="preserve">При сложении отрицательных чисел получен положительный результат ПЕРЕПОЛНЕНИЕ!</t>
  </si>
  <si>
    <t xml:space="preserve">X3=</t>
  </si>
  <si>
    <t xml:space="preserve">A+C=</t>
  </si>
  <si>
    <t xml:space="preserve">B3 =</t>
  </si>
  <si>
    <t xml:space="preserve">X4=</t>
  </si>
  <si>
    <t xml:space="preserve">A+C+C=</t>
  </si>
  <si>
    <t xml:space="preserve">B4 =</t>
  </si>
  <si>
    <t xml:space="preserve">X5=</t>
  </si>
  <si>
    <t xml:space="preserve">C-A=</t>
  </si>
  <si>
    <t xml:space="preserve">B5 =</t>
  </si>
  <si>
    <t xml:space="preserve">X6=</t>
  </si>
  <si>
    <t xml:space="preserve">65536-X4=</t>
  </si>
  <si>
    <t xml:space="preserve">B6 =</t>
  </si>
  <si>
    <t xml:space="preserve">X7=</t>
  </si>
  <si>
    <t xml:space="preserve">-X1=</t>
  </si>
  <si>
    <t xml:space="preserve">B7 =</t>
  </si>
  <si>
    <t xml:space="preserve">X8=</t>
  </si>
  <si>
    <t xml:space="preserve">-X2=</t>
  </si>
  <si>
    <t xml:space="preserve">B8 =</t>
  </si>
  <si>
    <t xml:space="preserve">X9=</t>
  </si>
  <si>
    <t xml:space="preserve">-X3=</t>
  </si>
  <si>
    <t xml:space="preserve">B9 =</t>
  </si>
  <si>
    <t xml:space="preserve">X10=</t>
  </si>
  <si>
    <t xml:space="preserve">-X4=</t>
  </si>
  <si>
    <t xml:space="preserve">B10 =</t>
  </si>
  <si>
    <t xml:space="preserve">X11=</t>
  </si>
  <si>
    <t xml:space="preserve">-X5=</t>
  </si>
  <si>
    <t xml:space="preserve">B11 =</t>
  </si>
  <si>
    <t xml:space="preserve">X12=</t>
  </si>
  <si>
    <t xml:space="preserve">-X6=</t>
  </si>
  <si>
    <t xml:space="preserve">B12 =</t>
  </si>
  <si>
    <t xml:space="preserve">Перенос</t>
  </si>
  <si>
    <r>
      <rPr>
        <sz val="11"/>
        <color theme="1"/>
        <rFont val="Calibri"/>
        <family val="2"/>
        <charset val="204"/>
      </rPr>
      <t xml:space="preserve">B1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</si>
  <si>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X1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</si>
  <si>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t xml:space="preserve">+</t>
  </si>
  <si>
    <r>
      <rPr>
        <sz val="11"/>
        <color theme="1"/>
        <rFont val="Calibri"/>
        <family val="2"/>
        <charset val="204"/>
      </rPr>
      <t xml:space="preserve">B2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</si>
  <si>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X2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</si>
  <si>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vertAlign val="subscript"/>
        <sz val="11"/>
        <color theme="1"/>
        <rFont val="Calibri"/>
        <family val="2"/>
        <charset val="204"/>
      </rPr>
      <t xml:space="preserve">(2)     </t>
    </r>
    <r>
      <rPr>
        <sz val="11"/>
        <color theme="1"/>
        <rFont val="Calibri"/>
        <family val="2"/>
        <charset val="204"/>
      </rPr>
      <t xml:space="preserve">          =</t>
    </r>
  </si>
  <si>
    <t xml:space="preserve">(10)</t>
  </si>
  <si>
    <t xml:space="preserve">Перевод из доп кода</t>
  </si>
  <si>
    <t xml:space="preserve">CF=</t>
  </si>
  <si>
    <t xml:space="preserve">PF=</t>
  </si>
  <si>
    <t xml:space="preserve">AF=</t>
  </si>
  <si>
    <t xml:space="preserve">ZF=</t>
  </si>
  <si>
    <t xml:space="preserve">SF=</t>
  </si>
  <si>
    <t xml:space="preserve">OF=</t>
  </si>
  <si>
    <r>
      <rPr>
        <sz val="11"/>
        <color theme="1"/>
        <rFont val="Calibri"/>
        <family val="2"/>
        <charset val="204"/>
      </rPr>
      <t xml:space="preserve">B3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</si>
  <si>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X3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</si>
  <si>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B7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</si>
  <si>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X7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</si>
  <si>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B8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</si>
  <si>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X8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</si>
  <si>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B9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</si>
  <si>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X9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</si>
  <si>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B11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</si>
  <si>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X11</t>
    </r>
    <r>
      <rPr>
        <vertAlign val="subscript"/>
        <sz val="11"/>
        <color theme="1"/>
        <rFont val="Calibri"/>
        <family val="2"/>
        <charset val="204"/>
      </rPr>
      <t xml:space="preserve">(10)</t>
    </r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</si>
</sst>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1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0"/>
      <color theme="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rgb="FFFFFFFF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sz val="11"/>
      <color theme="1" tint="0.4999"/>
      <name val="Calibri"/>
      <family val="2"/>
      <charset val="204"/>
    </font>
    <font>
      <sz val="11"/>
      <color rgb="FFFF0000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4000"/>
        <bgColor rgb="FFFF0000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5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8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zeros" xfId="20"/>
  </cellStyles>
  <dxfs count="2">
    <dxf>
      <font>
        <name val="Calibri"/>
        <charset val="204"/>
        <family val="2"/>
        <color rgb="FF000000"/>
        <sz val="11"/>
      </font>
      <fill>
        <patternFill>
          <bgColor rgb="FFFF4000"/>
        </patternFill>
      </fill>
    </dxf>
    <dxf>
      <font>
        <name val="Calibri"/>
        <charset val="204"/>
        <family val="2"/>
        <b val="1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70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C13" activeCellId="0" sqref="AC13"/>
    </sheetView>
  </sheetViews>
  <sheetFormatPr defaultColWidth="8.59765625" defaultRowHeight="13.8" zeroHeight="false" outlineLevelRow="0" outlineLevelCol="0"/>
  <cols>
    <col collapsed="false" customWidth="true" hidden="false" outlineLevel="0" max="1" min="1" style="1" width="5.11"/>
    <col collapsed="false" customWidth="true" hidden="false" outlineLevel="0" max="2" min="2" style="1" width="10.89"/>
    <col collapsed="false" customWidth="true" hidden="false" outlineLevel="0" max="4" min="4" style="1" width="4"/>
    <col collapsed="false" customWidth="true" hidden="false" outlineLevel="0" max="6" min="6" style="1" width="10.34"/>
    <col collapsed="false" customWidth="true" hidden="false" outlineLevel="0" max="25" min="7" style="1" width="3.67"/>
    <col collapsed="false" customWidth="true" hidden="false" outlineLevel="0" max="27" min="27" style="1" width="9.11"/>
    <col collapsed="false" customWidth="true" hidden="false" outlineLevel="0" max="28" min="28" style="1" width="10"/>
  </cols>
  <sheetData>
    <row r="1" customFormat="false" ht="24.45" hidden="false" customHeight="false" outlineLevel="0" collapsed="false">
      <c r="A1" s="2"/>
      <c r="B1" s="3" t="s">
        <v>0</v>
      </c>
      <c r="C1" s="4" t="n">
        <v>6518</v>
      </c>
      <c r="D1" s="2"/>
      <c r="E1" s="2"/>
      <c r="F1" s="2"/>
      <c r="O1" s="5"/>
    </row>
    <row r="2" customFormat="false" ht="13.8" hidden="false" customHeight="false" outlineLevel="0" collapsed="false">
      <c r="A2" s="2"/>
      <c r="B2" s="6" t="s">
        <v>1</v>
      </c>
      <c r="C2" s="7" t="n">
        <v>14200</v>
      </c>
      <c r="D2" s="2"/>
      <c r="E2" s="2"/>
      <c r="F2" s="2"/>
      <c r="AG2" s="8" t="s">
        <v>2</v>
      </c>
    </row>
    <row r="3" customFormat="false" ht="16.4" hidden="false" customHeight="false" outlineLevel="0" collapsed="false">
      <c r="A3" s="2"/>
      <c r="B3" s="2"/>
      <c r="C3" s="2"/>
      <c r="D3" s="2"/>
      <c r="E3" s="2"/>
      <c r="F3" s="2"/>
      <c r="G3" s="9" t="n">
        <v>15</v>
      </c>
      <c r="H3" s="9" t="n">
        <v>14</v>
      </c>
      <c r="I3" s="9" t="n">
        <v>13</v>
      </c>
      <c r="J3" s="9" t="n">
        <v>12</v>
      </c>
      <c r="K3" s="9"/>
      <c r="L3" s="9" t="n">
        <v>11</v>
      </c>
      <c r="M3" s="9" t="n">
        <v>10</v>
      </c>
      <c r="N3" s="9" t="n">
        <v>9</v>
      </c>
      <c r="O3" s="9" t="n">
        <v>8</v>
      </c>
      <c r="P3" s="9"/>
      <c r="Q3" s="9" t="n">
        <v>7</v>
      </c>
      <c r="R3" s="9" t="n">
        <v>6</v>
      </c>
      <c r="S3" s="9" t="n">
        <v>5</v>
      </c>
      <c r="T3" s="9" t="n">
        <v>4</v>
      </c>
      <c r="U3" s="9"/>
      <c r="V3" s="9" t="n">
        <v>3</v>
      </c>
      <c r="W3" s="9" t="n">
        <v>2</v>
      </c>
      <c r="X3" s="9" t="n">
        <v>1</v>
      </c>
      <c r="Y3" s="9" t="n">
        <v>0</v>
      </c>
      <c r="AA3" s="1" t="s">
        <v>3</v>
      </c>
      <c r="AB3" s="1" t="s">
        <v>4</v>
      </c>
      <c r="AG3" s="8" t="s">
        <v>5</v>
      </c>
    </row>
    <row r="4" customFormat="false" ht="13.8" hidden="false" customHeight="false" outlineLevel="0" collapsed="false">
      <c r="A4" s="3" t="s">
        <v>6</v>
      </c>
      <c r="B4" s="10" t="s">
        <v>0</v>
      </c>
      <c r="C4" s="11" t="n">
        <f aca="false">C1</f>
        <v>6518</v>
      </c>
      <c r="D4" s="11"/>
      <c r="E4" s="11" t="s">
        <v>7</v>
      </c>
      <c r="F4" s="11"/>
      <c r="G4" s="12" t="str">
        <f aca="false">IF(G$3="",".",MID(IF($C4&gt;0,_xlfn.BASE($C4,2,16),_xlfn.BASE($C4+2^16,2,16)),ABS(G$3-16),1))</f>
        <v>0</v>
      </c>
      <c r="H4" s="12" t="str">
        <f aca="false">IF(H$3="",".",MID(IF($C4&gt;0,_xlfn.BASE($C4,2,16),_xlfn.BASE($C4+2^16,2,16)),ABS(H$3-16),1))</f>
        <v>0</v>
      </c>
      <c r="I4" s="12" t="str">
        <f aca="false">IF(I$3="",".",MID(IF($C4&gt;0,_xlfn.BASE($C4,2,16),_xlfn.BASE($C4+2^16,2,16)),ABS(I$3-16),1))</f>
        <v>0</v>
      </c>
      <c r="J4" s="12" t="str">
        <f aca="false">IF(J$3="",".",MID(IF($C4&gt;0,_xlfn.BASE($C4,2,16),_xlfn.BASE($C4+2^16,2,16)),ABS(J$3-16),1))</f>
        <v>1</v>
      </c>
      <c r="K4" s="12" t="str">
        <f aca="false">IF(K$3="",".",MID(IF($C4&gt;0,_xlfn.BASE($C4,2,16),_xlfn.BASE($C4+2^16,2,16)),ABS(K$3-16),1))</f>
        <v>.</v>
      </c>
      <c r="L4" s="12" t="str">
        <f aca="false">IF(L$3="",".",MID(IF($C4&gt;0,_xlfn.BASE($C4,2,16),_xlfn.BASE($C4+2^16,2,16)),ABS(L$3-16),1))</f>
        <v>1</v>
      </c>
      <c r="M4" s="12" t="str">
        <f aca="false">IF(M$3="",".",MID(IF($C4&gt;0,_xlfn.BASE($C4,2,16),_xlfn.BASE($C4+2^16,2,16)),ABS(M$3-16),1))</f>
        <v>0</v>
      </c>
      <c r="N4" s="12" t="str">
        <f aca="false">IF(N$3="",".",MID(IF($C4&gt;0,_xlfn.BASE($C4,2,16),_xlfn.BASE($C4+2^16,2,16)),ABS(N$3-16),1))</f>
        <v>0</v>
      </c>
      <c r="O4" s="12" t="str">
        <f aca="false">IF(O$3="",".",MID(IF($C4&gt;0,_xlfn.BASE($C4,2,16),_xlfn.BASE($C4+2^16,2,16)),ABS(O$3-16),1))</f>
        <v>1</v>
      </c>
      <c r="P4" s="12" t="str">
        <f aca="false">IF(P$3="",".",MID(IF($C4&gt;0,_xlfn.BASE($C4,2,16),_xlfn.BASE($C4+2^16,2,16)),ABS(P$3-16),1))</f>
        <v>.</v>
      </c>
      <c r="Q4" s="12" t="str">
        <f aca="false">IF(Q$3="",".",MID(IF($C4&gt;0,_xlfn.BASE($C4,2,16),_xlfn.BASE($C4+2^16,2,16)),ABS(Q$3-16),1))</f>
        <v>0</v>
      </c>
      <c r="R4" s="12" t="str">
        <f aca="false">IF(R$3="",".",MID(IF($C4&gt;0,_xlfn.BASE($C4,2,16),_xlfn.BASE($C4+2^16,2,16)),ABS(R$3-16),1))</f>
        <v>1</v>
      </c>
      <c r="S4" s="12" t="str">
        <f aca="false">IF(S$3="",".",MID(IF($C4&gt;0,_xlfn.BASE($C4,2,16),_xlfn.BASE($C4+2^16,2,16)),ABS(S$3-16),1))</f>
        <v>1</v>
      </c>
      <c r="T4" s="12" t="str">
        <f aca="false">IF(T$3="",".",MID(IF($C4&gt;0,_xlfn.BASE($C4,2,16),_xlfn.BASE($C4+2^16,2,16)),ABS(T$3-16),1))</f>
        <v>1</v>
      </c>
      <c r="U4" s="12" t="str">
        <f aca="false">IF(U$3="",".",MID(IF($C4&gt;0,_xlfn.BASE($C4,2,16),_xlfn.BASE($C4+2^16,2,16)),ABS(U$3-16),1))</f>
        <v>.</v>
      </c>
      <c r="V4" s="12" t="str">
        <f aca="false">IF(V$3="",".",MID(IF($C4&gt;0,_xlfn.BASE($C4,2,16),_xlfn.BASE($C4+2^16,2,16)),ABS(V$3-16),1))</f>
        <v>0</v>
      </c>
      <c r="W4" s="12" t="str">
        <f aca="false">IF(W$3="",".",MID(IF($C4&gt;0,_xlfn.BASE($C4,2,16),_xlfn.BASE($C4+2^16,2,16)),ABS(W$3-16),1))</f>
        <v>1</v>
      </c>
      <c r="X4" s="12" t="str">
        <f aca="false">IF(X$3="",".",MID(IF($C4&gt;0,_xlfn.BASE($C4,2,16),_xlfn.BASE($C4+2^16,2,16)),ABS(X$3-16),1))</f>
        <v>1</v>
      </c>
      <c r="Y4" s="13" t="str">
        <f aca="false">IF(Y$3="",".",MID(IF($C4&gt;0,_xlfn.BASE($C4,2,16),_xlfn.BASE($C4+2^16,2,16)),ABS(Y$3-16),1))</f>
        <v>0</v>
      </c>
      <c r="AG4" s="8" t="s">
        <v>8</v>
      </c>
    </row>
    <row r="5" customFormat="false" ht="13.8" hidden="false" customHeight="false" outlineLevel="0" collapsed="false">
      <c r="A5" s="14" t="s">
        <v>9</v>
      </c>
      <c r="B5" s="15" t="s">
        <v>10</v>
      </c>
      <c r="C5" s="2" t="n">
        <f aca="false">C2</f>
        <v>14200</v>
      </c>
      <c r="D5" s="2"/>
      <c r="E5" s="2" t="s">
        <v>11</v>
      </c>
      <c r="F5" s="2"/>
      <c r="G5" s="16" t="str">
        <f aca="false">IF(G$3="",".",MID(IF($C5&gt;0,_xlfn.BASE($C5,2,16),_xlfn.BASE($C5+2^16,2,16)),ABS(G$3-16),1))</f>
        <v>0</v>
      </c>
      <c r="H5" s="16" t="str">
        <f aca="false">IF(H$3="",".",MID(IF($C5&gt;0,_xlfn.BASE($C5,2,16),_xlfn.BASE($C5+2^16,2,16)),ABS(H$3-16),1))</f>
        <v>0</v>
      </c>
      <c r="I5" s="16" t="str">
        <f aca="false">IF(I$3="",".",MID(IF($C5&gt;0,_xlfn.BASE($C5,2,16),_xlfn.BASE($C5+2^16,2,16)),ABS(I$3-16),1))</f>
        <v>1</v>
      </c>
      <c r="J5" s="16" t="str">
        <f aca="false">IF(J$3="",".",MID(IF($C5&gt;0,_xlfn.BASE($C5,2,16),_xlfn.BASE($C5+2^16,2,16)),ABS(J$3-16),1))</f>
        <v>1</v>
      </c>
      <c r="K5" s="16" t="str">
        <f aca="false">IF(K$3="",".",MID(IF($C5&gt;0,_xlfn.BASE($C5,2,16),_xlfn.BASE($C5+2^16,2,16)),ABS(K$3-16),1))</f>
        <v>.</v>
      </c>
      <c r="L5" s="16" t="str">
        <f aca="false">IF(L$3="",".",MID(IF($C5&gt;0,_xlfn.BASE($C5,2,16),_xlfn.BASE($C5+2^16,2,16)),ABS(L$3-16),1))</f>
        <v>0</v>
      </c>
      <c r="M5" s="16" t="str">
        <f aca="false">IF(M$3="",".",MID(IF($C5&gt;0,_xlfn.BASE($C5,2,16),_xlfn.BASE($C5+2^16,2,16)),ABS(M$3-16),1))</f>
        <v>1</v>
      </c>
      <c r="N5" s="16" t="str">
        <f aca="false">IF(N$3="",".",MID(IF($C5&gt;0,_xlfn.BASE($C5,2,16),_xlfn.BASE($C5+2^16,2,16)),ABS(N$3-16),1))</f>
        <v>1</v>
      </c>
      <c r="O5" s="16" t="str">
        <f aca="false">IF(O$3="",".",MID(IF($C5&gt;0,_xlfn.BASE($C5,2,16),_xlfn.BASE($C5+2^16,2,16)),ABS(O$3-16),1))</f>
        <v>1</v>
      </c>
      <c r="P5" s="16" t="str">
        <f aca="false">IF(P$3="",".",MID(IF($C5&gt;0,_xlfn.BASE($C5,2,16),_xlfn.BASE($C5+2^16,2,16)),ABS(P$3-16),1))</f>
        <v>.</v>
      </c>
      <c r="Q5" s="16" t="str">
        <f aca="false">IF(Q$3="",".",MID(IF($C5&gt;0,_xlfn.BASE($C5,2,16),_xlfn.BASE($C5+2^16,2,16)),ABS(Q$3-16),1))</f>
        <v>0</v>
      </c>
      <c r="R5" s="16" t="str">
        <f aca="false">IF(R$3="",".",MID(IF($C5&gt;0,_xlfn.BASE($C5,2,16),_xlfn.BASE($C5+2^16,2,16)),ABS(R$3-16),1))</f>
        <v>1</v>
      </c>
      <c r="S5" s="16" t="str">
        <f aca="false">IF(S$3="",".",MID(IF($C5&gt;0,_xlfn.BASE($C5,2,16),_xlfn.BASE($C5+2^16,2,16)),ABS(S$3-16),1))</f>
        <v>1</v>
      </c>
      <c r="T5" s="16" t="str">
        <f aca="false">IF(T$3="",".",MID(IF($C5&gt;0,_xlfn.BASE($C5,2,16),_xlfn.BASE($C5+2^16,2,16)),ABS(T$3-16),1))</f>
        <v>1</v>
      </c>
      <c r="U5" s="16" t="str">
        <f aca="false">IF(U$3="",".",MID(IF($C5&gt;0,_xlfn.BASE($C5,2,16),_xlfn.BASE($C5+2^16,2,16)),ABS(U$3-16),1))</f>
        <v>.</v>
      </c>
      <c r="V5" s="16" t="str">
        <f aca="false">IF(V$3="",".",MID(IF($C5&gt;0,_xlfn.BASE($C5,2,16),_xlfn.BASE($C5+2^16,2,16)),ABS(V$3-16),1))</f>
        <v>1</v>
      </c>
      <c r="W5" s="16" t="str">
        <f aca="false">IF(W$3="",".",MID(IF($C5&gt;0,_xlfn.BASE($C5,2,16),_xlfn.BASE($C5+2^16,2,16)),ABS(W$3-16),1))</f>
        <v>0</v>
      </c>
      <c r="X5" s="16" t="str">
        <f aca="false">IF(X$3="",".",MID(IF($C5&gt;0,_xlfn.BASE($C5,2,16),_xlfn.BASE($C5+2^16,2,16)),ABS(X$3-16),1))</f>
        <v>0</v>
      </c>
      <c r="Y5" s="17" t="str">
        <f aca="false">IF(Y$3="",".",MID(IF($C5&gt;0,_xlfn.BASE($C5,2,16),_xlfn.BASE($C5+2^16,2,16)),ABS(Y$3-16),1))</f>
        <v>0</v>
      </c>
      <c r="AG5" s="8" t="s">
        <v>12</v>
      </c>
    </row>
    <row r="6" customFormat="false" ht="13.8" hidden="false" customHeight="false" outlineLevel="0" collapsed="false">
      <c r="A6" s="14" t="s">
        <v>13</v>
      </c>
      <c r="B6" s="15" t="s">
        <v>14</v>
      </c>
      <c r="C6" s="2" t="n">
        <f aca="false">C4+C5</f>
        <v>20718</v>
      </c>
      <c r="D6" s="2"/>
      <c r="E6" s="2" t="s">
        <v>15</v>
      </c>
      <c r="F6" s="2"/>
      <c r="G6" s="16" t="str">
        <f aca="false">IF(G$3="",".",MID(IF($C6&gt;0,_xlfn.BASE($C6,2,16),_xlfn.BASE($C6+2^16,2,16)),ABS(G$3-16),1))</f>
        <v>0</v>
      </c>
      <c r="H6" s="16" t="str">
        <f aca="false">IF(H$3="",".",MID(IF($C6&gt;0,_xlfn.BASE($C6,2,16),_xlfn.BASE($C6+2^16,2,16)),ABS(H$3-16),1))</f>
        <v>1</v>
      </c>
      <c r="I6" s="16" t="str">
        <f aca="false">IF(I$3="",".",MID(IF($C6&gt;0,_xlfn.BASE($C6,2,16),_xlfn.BASE($C6+2^16,2,16)),ABS(I$3-16),1))</f>
        <v>0</v>
      </c>
      <c r="J6" s="16" t="str">
        <f aca="false">IF(J$3="",".",MID(IF($C6&gt;0,_xlfn.BASE($C6,2,16),_xlfn.BASE($C6+2^16,2,16)),ABS(J$3-16),1))</f>
        <v>1</v>
      </c>
      <c r="K6" s="16" t="str">
        <f aca="false">IF(K$3="",".",MID(IF($C6&gt;0,_xlfn.BASE($C6,2,16),_xlfn.BASE($C6+2^16,2,16)),ABS(K$3-16),1))</f>
        <v>.</v>
      </c>
      <c r="L6" s="16" t="str">
        <f aca="false">IF(L$3="",".",MID(IF($C6&gt;0,_xlfn.BASE($C6,2,16),_xlfn.BASE($C6+2^16,2,16)),ABS(L$3-16),1))</f>
        <v>0</v>
      </c>
      <c r="M6" s="16" t="str">
        <f aca="false">IF(M$3="",".",MID(IF($C6&gt;0,_xlfn.BASE($C6,2,16),_xlfn.BASE($C6+2^16,2,16)),ABS(M$3-16),1))</f>
        <v>0</v>
      </c>
      <c r="N6" s="16" t="str">
        <f aca="false">IF(N$3="",".",MID(IF($C6&gt;0,_xlfn.BASE($C6,2,16),_xlfn.BASE($C6+2^16,2,16)),ABS(N$3-16),1))</f>
        <v>0</v>
      </c>
      <c r="O6" s="16" t="str">
        <f aca="false">IF(O$3="",".",MID(IF($C6&gt;0,_xlfn.BASE($C6,2,16),_xlfn.BASE($C6+2^16,2,16)),ABS(O$3-16),1))</f>
        <v>0</v>
      </c>
      <c r="P6" s="16" t="str">
        <f aca="false">IF(P$3="",".",MID(IF($C6&gt;0,_xlfn.BASE($C6,2,16),_xlfn.BASE($C6+2^16,2,16)),ABS(P$3-16),1))</f>
        <v>.</v>
      </c>
      <c r="Q6" s="16" t="str">
        <f aca="false">IF(Q$3="",".",MID(IF($C6&gt;0,_xlfn.BASE($C6,2,16),_xlfn.BASE($C6+2^16,2,16)),ABS(Q$3-16),1))</f>
        <v>1</v>
      </c>
      <c r="R6" s="16" t="str">
        <f aca="false">IF(R$3="",".",MID(IF($C6&gt;0,_xlfn.BASE($C6,2,16),_xlfn.BASE($C6+2^16,2,16)),ABS(R$3-16),1))</f>
        <v>1</v>
      </c>
      <c r="S6" s="16" t="str">
        <f aca="false">IF(S$3="",".",MID(IF($C6&gt;0,_xlfn.BASE($C6,2,16),_xlfn.BASE($C6+2^16,2,16)),ABS(S$3-16),1))</f>
        <v>1</v>
      </c>
      <c r="T6" s="16" t="str">
        <f aca="false">IF(T$3="",".",MID(IF($C6&gt;0,_xlfn.BASE($C6,2,16),_xlfn.BASE($C6+2^16,2,16)),ABS(T$3-16),1))</f>
        <v>0</v>
      </c>
      <c r="U6" s="16" t="str">
        <f aca="false">IF(U$3="",".",MID(IF($C6&gt;0,_xlfn.BASE($C6,2,16),_xlfn.BASE($C6+2^16,2,16)),ABS(U$3-16),1))</f>
        <v>.</v>
      </c>
      <c r="V6" s="16" t="str">
        <f aca="false">IF(V$3="",".",MID(IF($C6&gt;0,_xlfn.BASE($C6,2,16),_xlfn.BASE($C6+2^16,2,16)),ABS(V$3-16),1))</f>
        <v>1</v>
      </c>
      <c r="W6" s="16" t="str">
        <f aca="false">IF(W$3="",".",MID(IF($C6&gt;0,_xlfn.BASE($C6,2,16),_xlfn.BASE($C6+2^16,2,16)),ABS(W$3-16),1))</f>
        <v>1</v>
      </c>
      <c r="X6" s="16" t="str">
        <f aca="false">IF(X$3="",".",MID(IF($C6&gt;0,_xlfn.BASE($C6,2,16),_xlfn.BASE($C6+2^16,2,16)),ABS(X$3-16),1))</f>
        <v>1</v>
      </c>
      <c r="Y6" s="17" t="str">
        <f aca="false">IF(Y$3="",".",MID(IF($C6&gt;0,_xlfn.BASE($C6,2,16),_xlfn.BASE($C6+2^16,2,16)),ABS(Y$3-16),1))</f>
        <v>0</v>
      </c>
    </row>
    <row r="7" customFormat="false" ht="13.8" hidden="false" customHeight="false" outlineLevel="0" collapsed="false">
      <c r="A7" s="14" t="s">
        <v>16</v>
      </c>
      <c r="B7" s="15" t="s">
        <v>17</v>
      </c>
      <c r="C7" s="2" t="n">
        <f aca="false">C6+C5</f>
        <v>34918</v>
      </c>
      <c r="D7" s="2"/>
      <c r="E7" s="2" t="s">
        <v>18</v>
      </c>
      <c r="F7" s="2"/>
      <c r="G7" s="16" t="str">
        <f aca="false">IF(G$3="",".",MID(IF($C7&gt;0,_xlfn.BASE($C7,2,16),_xlfn.BASE($C7+2^16,2,16)),ABS(G$3-16),1))</f>
        <v>1</v>
      </c>
      <c r="H7" s="16" t="str">
        <f aca="false">IF(H$3="",".",MID(IF($C7&gt;0,_xlfn.BASE($C7,2,16),_xlfn.BASE($C7+2^16,2,16)),ABS(H$3-16),1))</f>
        <v>0</v>
      </c>
      <c r="I7" s="16" t="str">
        <f aca="false">IF(I$3="",".",MID(IF($C7&gt;0,_xlfn.BASE($C7,2,16),_xlfn.BASE($C7+2^16,2,16)),ABS(I$3-16),1))</f>
        <v>0</v>
      </c>
      <c r="J7" s="16" t="str">
        <f aca="false">IF(J$3="",".",MID(IF($C7&gt;0,_xlfn.BASE($C7,2,16),_xlfn.BASE($C7+2^16,2,16)),ABS(J$3-16),1))</f>
        <v>0</v>
      </c>
      <c r="K7" s="16" t="str">
        <f aca="false">IF(K$3="",".",MID(IF($C7&gt;0,_xlfn.BASE($C7,2,16),_xlfn.BASE($C7+2^16,2,16)),ABS(K$3-16),1))</f>
        <v>.</v>
      </c>
      <c r="L7" s="16" t="str">
        <f aca="false">IF(L$3="",".",MID(IF($C7&gt;0,_xlfn.BASE($C7,2,16),_xlfn.BASE($C7+2^16,2,16)),ABS(L$3-16),1))</f>
        <v>1</v>
      </c>
      <c r="M7" s="16" t="str">
        <f aca="false">IF(M$3="",".",MID(IF($C7&gt;0,_xlfn.BASE($C7,2,16),_xlfn.BASE($C7+2^16,2,16)),ABS(M$3-16),1))</f>
        <v>0</v>
      </c>
      <c r="N7" s="16" t="str">
        <f aca="false">IF(N$3="",".",MID(IF($C7&gt;0,_xlfn.BASE($C7,2,16),_xlfn.BASE($C7+2^16,2,16)),ABS(N$3-16),1))</f>
        <v>0</v>
      </c>
      <c r="O7" s="16" t="str">
        <f aca="false">IF(O$3="",".",MID(IF($C7&gt;0,_xlfn.BASE($C7,2,16),_xlfn.BASE($C7+2^16,2,16)),ABS(O$3-16),1))</f>
        <v>0</v>
      </c>
      <c r="P7" s="16" t="str">
        <f aca="false">IF(P$3="",".",MID(IF($C7&gt;0,_xlfn.BASE($C7,2,16),_xlfn.BASE($C7+2^16,2,16)),ABS(P$3-16),1))</f>
        <v>.</v>
      </c>
      <c r="Q7" s="16" t="str">
        <f aca="false">IF(Q$3="",".",MID(IF($C7&gt;0,_xlfn.BASE($C7,2,16),_xlfn.BASE($C7+2^16,2,16)),ABS(Q$3-16),1))</f>
        <v>0</v>
      </c>
      <c r="R7" s="16" t="str">
        <f aca="false">IF(R$3="",".",MID(IF($C7&gt;0,_xlfn.BASE($C7,2,16),_xlfn.BASE($C7+2^16,2,16)),ABS(R$3-16),1))</f>
        <v>1</v>
      </c>
      <c r="S7" s="16" t="str">
        <f aca="false">IF(S$3="",".",MID(IF($C7&gt;0,_xlfn.BASE($C7,2,16),_xlfn.BASE($C7+2^16,2,16)),ABS(S$3-16),1))</f>
        <v>1</v>
      </c>
      <c r="T7" s="16" t="str">
        <f aca="false">IF(T$3="",".",MID(IF($C7&gt;0,_xlfn.BASE($C7,2,16),_xlfn.BASE($C7+2^16,2,16)),ABS(T$3-16),1))</f>
        <v>0</v>
      </c>
      <c r="U7" s="16" t="str">
        <f aca="false">IF(U$3="",".",MID(IF($C7&gt;0,_xlfn.BASE($C7,2,16),_xlfn.BASE($C7+2^16,2,16)),ABS(U$3-16),1))</f>
        <v>.</v>
      </c>
      <c r="V7" s="16" t="str">
        <f aca="false">IF(V$3="",".",MID(IF($C7&gt;0,_xlfn.BASE($C7,2,16),_xlfn.BASE($C7+2^16,2,16)),ABS(V$3-16),1))</f>
        <v>0</v>
      </c>
      <c r="W7" s="16" t="str">
        <f aca="false">IF(W$3="",".",MID(IF($C7&gt;0,_xlfn.BASE($C7,2,16),_xlfn.BASE($C7+2^16,2,16)),ABS(W$3-16),1))</f>
        <v>1</v>
      </c>
      <c r="X7" s="16" t="str">
        <f aca="false">IF(X$3="",".",MID(IF($C7&gt;0,_xlfn.BASE($C7,2,16),_xlfn.BASE($C7+2^16,2,16)),ABS(X$3-16),1))</f>
        <v>1</v>
      </c>
      <c r="Y7" s="17" t="str">
        <f aca="false">IF(Y$3="",".",MID(IF($C7&gt;0,_xlfn.BASE($C7,2,16),_xlfn.BASE($C7+2^16,2,16)),ABS(Y$3-16),1))</f>
        <v>0</v>
      </c>
    </row>
    <row r="8" customFormat="false" ht="13.8" hidden="false" customHeight="false" outlineLevel="0" collapsed="false">
      <c r="A8" s="14" t="s">
        <v>19</v>
      </c>
      <c r="B8" s="15" t="s">
        <v>20</v>
      </c>
      <c r="C8" s="2" t="n">
        <f aca="false">C5-C4</f>
        <v>7682</v>
      </c>
      <c r="D8" s="2"/>
      <c r="E8" s="2" t="s">
        <v>21</v>
      </c>
      <c r="F8" s="2"/>
      <c r="G8" s="16" t="str">
        <f aca="false">IF(G$3="",".",MID(IF($C8&gt;0,_xlfn.BASE($C8,2,16),_xlfn.BASE($C8+2^16,2,16)),ABS(G$3-16),1))</f>
        <v>0</v>
      </c>
      <c r="H8" s="16" t="str">
        <f aca="false">IF(H$3="",".",MID(IF($C8&gt;0,_xlfn.BASE($C8,2,16),_xlfn.BASE($C8+2^16,2,16)),ABS(H$3-16),1))</f>
        <v>0</v>
      </c>
      <c r="I8" s="16" t="str">
        <f aca="false">IF(I$3="",".",MID(IF($C8&gt;0,_xlfn.BASE($C8,2,16),_xlfn.BASE($C8+2^16,2,16)),ABS(I$3-16),1))</f>
        <v>0</v>
      </c>
      <c r="J8" s="16" t="str">
        <f aca="false">IF(J$3="",".",MID(IF($C8&gt;0,_xlfn.BASE($C8,2,16),_xlfn.BASE($C8+2^16,2,16)),ABS(J$3-16),1))</f>
        <v>1</v>
      </c>
      <c r="K8" s="16" t="str">
        <f aca="false">IF(K$3="",".",MID(IF($C8&gt;0,_xlfn.BASE($C8,2,16),_xlfn.BASE($C8+2^16,2,16)),ABS(K$3-16),1))</f>
        <v>.</v>
      </c>
      <c r="L8" s="16" t="str">
        <f aca="false">IF(L$3="",".",MID(IF($C8&gt;0,_xlfn.BASE($C8,2,16),_xlfn.BASE($C8+2^16,2,16)),ABS(L$3-16),1))</f>
        <v>1</v>
      </c>
      <c r="M8" s="16" t="str">
        <f aca="false">IF(M$3="",".",MID(IF($C8&gt;0,_xlfn.BASE($C8,2,16),_xlfn.BASE($C8+2^16,2,16)),ABS(M$3-16),1))</f>
        <v>1</v>
      </c>
      <c r="N8" s="16" t="str">
        <f aca="false">IF(N$3="",".",MID(IF($C8&gt;0,_xlfn.BASE($C8,2,16),_xlfn.BASE($C8+2^16,2,16)),ABS(N$3-16),1))</f>
        <v>1</v>
      </c>
      <c r="O8" s="16" t="str">
        <f aca="false">IF(O$3="",".",MID(IF($C8&gt;0,_xlfn.BASE($C8,2,16),_xlfn.BASE($C8+2^16,2,16)),ABS(O$3-16),1))</f>
        <v>0</v>
      </c>
      <c r="P8" s="16" t="str">
        <f aca="false">IF(P$3="",".",MID(IF($C8&gt;0,_xlfn.BASE($C8,2,16),_xlfn.BASE($C8+2^16,2,16)),ABS(P$3-16),1))</f>
        <v>.</v>
      </c>
      <c r="Q8" s="16" t="str">
        <f aca="false">IF(Q$3="",".",MID(IF($C8&gt;0,_xlfn.BASE($C8,2,16),_xlfn.BASE($C8+2^16,2,16)),ABS(Q$3-16),1))</f>
        <v>0</v>
      </c>
      <c r="R8" s="16" t="str">
        <f aca="false">IF(R$3="",".",MID(IF($C8&gt;0,_xlfn.BASE($C8,2,16),_xlfn.BASE($C8+2^16,2,16)),ABS(R$3-16),1))</f>
        <v>0</v>
      </c>
      <c r="S8" s="16" t="str">
        <f aca="false">IF(S$3="",".",MID(IF($C8&gt;0,_xlfn.BASE($C8,2,16),_xlfn.BASE($C8+2^16,2,16)),ABS(S$3-16),1))</f>
        <v>0</v>
      </c>
      <c r="T8" s="16" t="str">
        <f aca="false">IF(T$3="",".",MID(IF($C8&gt;0,_xlfn.BASE($C8,2,16),_xlfn.BASE($C8+2^16,2,16)),ABS(T$3-16),1))</f>
        <v>0</v>
      </c>
      <c r="U8" s="16" t="str">
        <f aca="false">IF(U$3="",".",MID(IF($C8&gt;0,_xlfn.BASE($C8,2,16),_xlfn.BASE($C8+2^16,2,16)),ABS(U$3-16),1))</f>
        <v>.</v>
      </c>
      <c r="V8" s="16" t="str">
        <f aca="false">IF(V$3="",".",MID(IF($C8&gt;0,_xlfn.BASE($C8,2,16),_xlfn.BASE($C8+2^16,2,16)),ABS(V$3-16),1))</f>
        <v>0</v>
      </c>
      <c r="W8" s="16" t="str">
        <f aca="false">IF(W$3="",".",MID(IF($C8&gt;0,_xlfn.BASE($C8,2,16),_xlfn.BASE($C8+2^16,2,16)),ABS(W$3-16),1))</f>
        <v>0</v>
      </c>
      <c r="X8" s="16" t="str">
        <f aca="false">IF(X$3="",".",MID(IF($C8&gt;0,_xlfn.BASE($C8,2,16),_xlfn.BASE($C8+2^16,2,16)),ABS(X$3-16),1))</f>
        <v>1</v>
      </c>
      <c r="Y8" s="17" t="str">
        <f aca="false">IF(Y$3="",".",MID(IF($C8&gt;0,_xlfn.BASE($C8,2,16),_xlfn.BASE($C8+2^16,2,16)),ABS(Y$3-16),1))</f>
        <v>0</v>
      </c>
    </row>
    <row r="9" customFormat="false" ht="13.8" hidden="false" customHeight="false" outlineLevel="0" collapsed="false">
      <c r="A9" s="14" t="s">
        <v>22</v>
      </c>
      <c r="B9" s="15" t="s">
        <v>23</v>
      </c>
      <c r="C9" s="2" t="n">
        <f aca="false">65536-C7</f>
        <v>30618</v>
      </c>
      <c r="D9" s="2"/>
      <c r="E9" s="2" t="s">
        <v>24</v>
      </c>
      <c r="F9" s="2"/>
      <c r="G9" s="16" t="str">
        <f aca="false">IF(G$3="",".",MID(IF($C9&gt;0,_xlfn.BASE($C9,2,16),_xlfn.BASE($C9+2^16,2,16)),ABS(G$3-16),1))</f>
        <v>0</v>
      </c>
      <c r="H9" s="16" t="str">
        <f aca="false">IF(H$3="",".",MID(IF($C9&gt;0,_xlfn.BASE($C9,2,16),_xlfn.BASE($C9+2^16,2,16)),ABS(H$3-16),1))</f>
        <v>1</v>
      </c>
      <c r="I9" s="16" t="str">
        <f aca="false">IF(I$3="",".",MID(IF($C9&gt;0,_xlfn.BASE($C9,2,16),_xlfn.BASE($C9+2^16,2,16)),ABS(I$3-16),1))</f>
        <v>1</v>
      </c>
      <c r="J9" s="16" t="str">
        <f aca="false">IF(J$3="",".",MID(IF($C9&gt;0,_xlfn.BASE($C9,2,16),_xlfn.BASE($C9+2^16,2,16)),ABS(J$3-16),1))</f>
        <v>1</v>
      </c>
      <c r="K9" s="16" t="str">
        <f aca="false">IF(K$3="",".",MID(IF($C9&gt;0,_xlfn.BASE($C9,2,16),_xlfn.BASE($C9+2^16,2,16)),ABS(K$3-16),1))</f>
        <v>.</v>
      </c>
      <c r="L9" s="16" t="str">
        <f aca="false">IF(L$3="",".",MID(IF($C9&gt;0,_xlfn.BASE($C9,2,16),_xlfn.BASE($C9+2^16,2,16)),ABS(L$3-16),1))</f>
        <v>0</v>
      </c>
      <c r="M9" s="16" t="str">
        <f aca="false">IF(M$3="",".",MID(IF($C9&gt;0,_xlfn.BASE($C9,2,16),_xlfn.BASE($C9+2^16,2,16)),ABS(M$3-16),1))</f>
        <v>1</v>
      </c>
      <c r="N9" s="16" t="str">
        <f aca="false">IF(N$3="",".",MID(IF($C9&gt;0,_xlfn.BASE($C9,2,16),_xlfn.BASE($C9+2^16,2,16)),ABS(N$3-16),1))</f>
        <v>1</v>
      </c>
      <c r="O9" s="16" t="str">
        <f aca="false">IF(O$3="",".",MID(IF($C9&gt;0,_xlfn.BASE($C9,2,16),_xlfn.BASE($C9+2^16,2,16)),ABS(O$3-16),1))</f>
        <v>1</v>
      </c>
      <c r="P9" s="16" t="str">
        <f aca="false">IF(P$3="",".",MID(IF($C9&gt;0,_xlfn.BASE($C9,2,16),_xlfn.BASE($C9+2^16,2,16)),ABS(P$3-16),1))</f>
        <v>.</v>
      </c>
      <c r="Q9" s="16" t="str">
        <f aca="false">IF(Q$3="",".",MID(IF($C9&gt;0,_xlfn.BASE($C9,2,16),_xlfn.BASE($C9+2^16,2,16)),ABS(Q$3-16),1))</f>
        <v>1</v>
      </c>
      <c r="R9" s="16" t="str">
        <f aca="false">IF(R$3="",".",MID(IF($C9&gt;0,_xlfn.BASE($C9,2,16),_xlfn.BASE($C9+2^16,2,16)),ABS(R$3-16),1))</f>
        <v>0</v>
      </c>
      <c r="S9" s="16" t="str">
        <f aca="false">IF(S$3="",".",MID(IF($C9&gt;0,_xlfn.BASE($C9,2,16),_xlfn.BASE($C9+2^16,2,16)),ABS(S$3-16),1))</f>
        <v>0</v>
      </c>
      <c r="T9" s="16" t="str">
        <f aca="false">IF(T$3="",".",MID(IF($C9&gt;0,_xlfn.BASE($C9,2,16),_xlfn.BASE($C9+2^16,2,16)),ABS(T$3-16),1))</f>
        <v>1</v>
      </c>
      <c r="U9" s="16" t="str">
        <f aca="false">IF(U$3="",".",MID(IF($C9&gt;0,_xlfn.BASE($C9,2,16),_xlfn.BASE($C9+2^16,2,16)),ABS(U$3-16),1))</f>
        <v>.</v>
      </c>
      <c r="V9" s="16" t="str">
        <f aca="false">IF(V$3="",".",MID(IF($C9&gt;0,_xlfn.BASE($C9,2,16),_xlfn.BASE($C9+2^16,2,16)),ABS(V$3-16),1))</f>
        <v>1</v>
      </c>
      <c r="W9" s="16" t="str">
        <f aca="false">IF(W$3="",".",MID(IF($C9&gt;0,_xlfn.BASE($C9,2,16),_xlfn.BASE($C9+2^16,2,16)),ABS(W$3-16),1))</f>
        <v>0</v>
      </c>
      <c r="X9" s="16" t="str">
        <f aca="false">IF(X$3="",".",MID(IF($C9&gt;0,_xlfn.BASE($C9,2,16),_xlfn.BASE($C9+2^16,2,16)),ABS(X$3-16),1))</f>
        <v>1</v>
      </c>
      <c r="Y9" s="17" t="str">
        <f aca="false">IF(Y$3="",".",MID(IF($C9&gt;0,_xlfn.BASE($C9,2,16),_xlfn.BASE($C9+2^16,2,16)),ABS(Y$3-16),1))</f>
        <v>0</v>
      </c>
    </row>
    <row r="10" customFormat="false" ht="13.8" hidden="false" customHeight="false" outlineLevel="0" collapsed="false">
      <c r="A10" s="14" t="s">
        <v>25</v>
      </c>
      <c r="B10" s="15" t="s">
        <v>26</v>
      </c>
      <c r="C10" s="2" t="n">
        <f aca="false">-C4</f>
        <v>-6518</v>
      </c>
      <c r="D10" s="2"/>
      <c r="E10" s="2" t="s">
        <v>27</v>
      </c>
      <c r="F10" s="15" t="str">
        <f aca="false">"-B1="</f>
        <v>-B1=</v>
      </c>
      <c r="G10" s="16" t="str">
        <f aca="false">IF(G$3="",".",MID(IF($C10&gt;0,_xlfn.BASE($C10,2,16),_xlfn.BASE($C10+2^16,2,16)),ABS(G$3-16),1))</f>
        <v>1</v>
      </c>
      <c r="H10" s="16" t="str">
        <f aca="false">IF(H$3="",".",MID(IF($C10&gt;0,_xlfn.BASE($C10,2,16),_xlfn.BASE($C10+2^16,2,16)),ABS(H$3-16),1))</f>
        <v>1</v>
      </c>
      <c r="I10" s="16" t="str">
        <f aca="false">IF(I$3="",".",MID(IF($C10&gt;0,_xlfn.BASE($C10,2,16),_xlfn.BASE($C10+2^16,2,16)),ABS(I$3-16),1))</f>
        <v>1</v>
      </c>
      <c r="J10" s="16" t="str">
        <f aca="false">IF(J$3="",".",MID(IF($C10&gt;0,_xlfn.BASE($C10,2,16),_xlfn.BASE($C10+2^16,2,16)),ABS(J$3-16),1))</f>
        <v>0</v>
      </c>
      <c r="K10" s="16" t="str">
        <f aca="false">IF(K$3="",".",MID(IF($C10&gt;0,_xlfn.BASE($C10,2,16),_xlfn.BASE($C10+2^16,2,16)),ABS(K$3-16),1))</f>
        <v>.</v>
      </c>
      <c r="L10" s="16" t="str">
        <f aca="false">IF(L$3="",".",MID(IF($C10&gt;0,_xlfn.BASE($C10,2,16),_xlfn.BASE($C10+2^16,2,16)),ABS(L$3-16),1))</f>
        <v>0</v>
      </c>
      <c r="M10" s="16" t="str">
        <f aca="false">IF(M$3="",".",MID(IF($C10&gt;0,_xlfn.BASE($C10,2,16),_xlfn.BASE($C10+2^16,2,16)),ABS(M$3-16),1))</f>
        <v>1</v>
      </c>
      <c r="N10" s="16" t="str">
        <f aca="false">IF(N$3="",".",MID(IF($C10&gt;0,_xlfn.BASE($C10,2,16),_xlfn.BASE($C10+2^16,2,16)),ABS(N$3-16),1))</f>
        <v>1</v>
      </c>
      <c r="O10" s="16" t="str">
        <f aca="false">IF(O$3="",".",MID(IF($C10&gt;0,_xlfn.BASE($C10,2,16),_xlfn.BASE($C10+2^16,2,16)),ABS(O$3-16),1))</f>
        <v>0</v>
      </c>
      <c r="P10" s="16" t="str">
        <f aca="false">IF(P$3="",".",MID(IF($C10&gt;0,_xlfn.BASE($C10,2,16),_xlfn.BASE($C10+2^16,2,16)),ABS(P$3-16),1))</f>
        <v>.</v>
      </c>
      <c r="Q10" s="16" t="str">
        <f aca="false">IF(Q$3="",".",MID(IF($C10&gt;0,_xlfn.BASE($C10,2,16),_xlfn.BASE($C10+2^16,2,16)),ABS(Q$3-16),1))</f>
        <v>1</v>
      </c>
      <c r="R10" s="16" t="str">
        <f aca="false">IF(R$3="",".",MID(IF($C10&gt;0,_xlfn.BASE($C10,2,16),_xlfn.BASE($C10+2^16,2,16)),ABS(R$3-16),1))</f>
        <v>0</v>
      </c>
      <c r="S10" s="16" t="str">
        <f aca="false">IF(S$3="",".",MID(IF($C10&gt;0,_xlfn.BASE($C10,2,16),_xlfn.BASE($C10+2^16,2,16)),ABS(S$3-16),1))</f>
        <v>0</v>
      </c>
      <c r="T10" s="16" t="str">
        <f aca="false">IF(T$3="",".",MID(IF($C10&gt;0,_xlfn.BASE($C10,2,16),_xlfn.BASE($C10+2^16,2,16)),ABS(T$3-16),1))</f>
        <v>0</v>
      </c>
      <c r="U10" s="16" t="str">
        <f aca="false">IF(U$3="",".",MID(IF($C10&gt;0,_xlfn.BASE($C10,2,16),_xlfn.BASE($C10+2^16,2,16)),ABS(U$3-16),1))</f>
        <v>.</v>
      </c>
      <c r="V10" s="16" t="str">
        <f aca="false">IF(V$3="",".",MID(IF($C10&gt;0,_xlfn.BASE($C10,2,16),_xlfn.BASE($C10+2^16,2,16)),ABS(V$3-16),1))</f>
        <v>1</v>
      </c>
      <c r="W10" s="16" t="str">
        <f aca="false">IF(W$3="",".",MID(IF($C10&gt;0,_xlfn.BASE($C10,2,16),_xlfn.BASE($C10+2^16,2,16)),ABS(W$3-16),1))</f>
        <v>0</v>
      </c>
      <c r="X10" s="16" t="str">
        <f aca="false">IF(X$3="",".",MID(IF($C10&gt;0,_xlfn.BASE($C10,2,16),_xlfn.BASE($C10+2^16,2,16)),ABS(X$3-16),1))</f>
        <v>1</v>
      </c>
      <c r="Y10" s="17" t="str">
        <f aca="false">IF(Y$3="",".",MID(IF($C10&gt;0,_xlfn.BASE($C10,2,16),_xlfn.BASE($C10+2^16,2,16)),ABS(Y$3-16),1))</f>
        <v>0</v>
      </c>
    </row>
    <row r="11" customFormat="false" ht="13.8" hidden="false" customHeight="false" outlineLevel="0" collapsed="false">
      <c r="A11" s="14" t="s">
        <v>28</v>
      </c>
      <c r="B11" s="15" t="s">
        <v>29</v>
      </c>
      <c r="C11" s="2" t="n">
        <f aca="false">-C5</f>
        <v>-14200</v>
      </c>
      <c r="D11" s="2"/>
      <c r="E11" s="2" t="s">
        <v>30</v>
      </c>
      <c r="F11" s="15" t="str">
        <f aca="false">"-B2="</f>
        <v>-B2=</v>
      </c>
      <c r="G11" s="16" t="str">
        <f aca="false">IF(G$3="",".",MID(IF($C11&gt;0,_xlfn.BASE($C11,2,16),_xlfn.BASE($C11+2^16,2,16)),ABS(G$3-16),1))</f>
        <v>1</v>
      </c>
      <c r="H11" s="16" t="str">
        <f aca="false">IF(H$3="",".",MID(IF($C11&gt;0,_xlfn.BASE($C11,2,16),_xlfn.BASE($C11+2^16,2,16)),ABS(H$3-16),1))</f>
        <v>1</v>
      </c>
      <c r="I11" s="16" t="str">
        <f aca="false">IF(I$3="",".",MID(IF($C11&gt;0,_xlfn.BASE($C11,2,16),_xlfn.BASE($C11+2^16,2,16)),ABS(I$3-16),1))</f>
        <v>0</v>
      </c>
      <c r="J11" s="16" t="str">
        <f aca="false">IF(J$3="",".",MID(IF($C11&gt;0,_xlfn.BASE($C11,2,16),_xlfn.BASE($C11+2^16,2,16)),ABS(J$3-16),1))</f>
        <v>0</v>
      </c>
      <c r="K11" s="16" t="str">
        <f aca="false">IF(K$3="",".",MID(IF($C11&gt;0,_xlfn.BASE($C11,2,16),_xlfn.BASE($C11+2^16,2,16)),ABS(K$3-16),1))</f>
        <v>.</v>
      </c>
      <c r="L11" s="16" t="str">
        <f aca="false">IF(L$3="",".",MID(IF($C11&gt;0,_xlfn.BASE($C11,2,16),_xlfn.BASE($C11+2^16,2,16)),ABS(L$3-16),1))</f>
        <v>1</v>
      </c>
      <c r="M11" s="16" t="str">
        <f aca="false">IF(M$3="",".",MID(IF($C11&gt;0,_xlfn.BASE($C11,2,16),_xlfn.BASE($C11+2^16,2,16)),ABS(M$3-16),1))</f>
        <v>0</v>
      </c>
      <c r="N11" s="16" t="str">
        <f aca="false">IF(N$3="",".",MID(IF($C11&gt;0,_xlfn.BASE($C11,2,16),_xlfn.BASE($C11+2^16,2,16)),ABS(N$3-16),1))</f>
        <v>0</v>
      </c>
      <c r="O11" s="16" t="str">
        <f aca="false">IF(O$3="",".",MID(IF($C11&gt;0,_xlfn.BASE($C11,2,16),_xlfn.BASE($C11+2^16,2,16)),ABS(O$3-16),1))</f>
        <v>0</v>
      </c>
      <c r="P11" s="16" t="str">
        <f aca="false">IF(P$3="",".",MID(IF($C11&gt;0,_xlfn.BASE($C11,2,16),_xlfn.BASE($C11+2^16,2,16)),ABS(P$3-16),1))</f>
        <v>.</v>
      </c>
      <c r="Q11" s="16" t="str">
        <f aca="false">IF(Q$3="",".",MID(IF($C11&gt;0,_xlfn.BASE($C11,2,16),_xlfn.BASE($C11+2^16,2,16)),ABS(Q$3-16),1))</f>
        <v>1</v>
      </c>
      <c r="R11" s="16" t="str">
        <f aca="false">IF(R$3="",".",MID(IF($C11&gt;0,_xlfn.BASE($C11,2,16),_xlfn.BASE($C11+2^16,2,16)),ABS(R$3-16),1))</f>
        <v>0</v>
      </c>
      <c r="S11" s="16" t="str">
        <f aca="false">IF(S$3="",".",MID(IF($C11&gt;0,_xlfn.BASE($C11,2,16),_xlfn.BASE($C11+2^16,2,16)),ABS(S$3-16),1))</f>
        <v>0</v>
      </c>
      <c r="T11" s="16" t="str">
        <f aca="false">IF(T$3="",".",MID(IF($C11&gt;0,_xlfn.BASE($C11,2,16),_xlfn.BASE($C11+2^16,2,16)),ABS(T$3-16),1))</f>
        <v>0</v>
      </c>
      <c r="U11" s="16" t="str">
        <f aca="false">IF(U$3="",".",MID(IF($C11&gt;0,_xlfn.BASE($C11,2,16),_xlfn.BASE($C11+2^16,2,16)),ABS(U$3-16),1))</f>
        <v>.</v>
      </c>
      <c r="V11" s="16" t="str">
        <f aca="false">IF(V$3="",".",MID(IF($C11&gt;0,_xlfn.BASE($C11,2,16),_xlfn.BASE($C11+2^16,2,16)),ABS(V$3-16),1))</f>
        <v>1</v>
      </c>
      <c r="W11" s="16" t="str">
        <f aca="false">IF(W$3="",".",MID(IF($C11&gt;0,_xlfn.BASE($C11,2,16),_xlfn.BASE($C11+2^16,2,16)),ABS(W$3-16),1))</f>
        <v>0</v>
      </c>
      <c r="X11" s="16" t="str">
        <f aca="false">IF(X$3="",".",MID(IF($C11&gt;0,_xlfn.BASE($C11,2,16),_xlfn.BASE($C11+2^16,2,16)),ABS(X$3-16),1))</f>
        <v>0</v>
      </c>
      <c r="Y11" s="17" t="str">
        <f aca="false">IF(Y$3="",".",MID(IF($C11&gt;0,_xlfn.BASE($C11,2,16),_xlfn.BASE($C11+2^16,2,16)),ABS(Y$3-16),1))</f>
        <v>0</v>
      </c>
    </row>
    <row r="12" customFormat="false" ht="13.8" hidden="false" customHeight="false" outlineLevel="0" collapsed="false">
      <c r="A12" s="14" t="s">
        <v>31</v>
      </c>
      <c r="B12" s="15" t="s">
        <v>32</v>
      </c>
      <c r="C12" s="2" t="n">
        <f aca="false">-C6</f>
        <v>-20718</v>
      </c>
      <c r="D12" s="2"/>
      <c r="E12" s="2" t="s">
        <v>33</v>
      </c>
      <c r="F12" s="15" t="str">
        <f aca="false">"-B3="</f>
        <v>-B3=</v>
      </c>
      <c r="G12" s="16" t="str">
        <f aca="false">IF(G$3="",".",MID(IF($C12&gt;0,_xlfn.BASE($C12,2,16),_xlfn.BASE($C12+2^16,2,16)),ABS(G$3-16),1))</f>
        <v>1</v>
      </c>
      <c r="H12" s="16" t="str">
        <f aca="false">IF(H$3="",".",MID(IF($C12&gt;0,_xlfn.BASE($C12,2,16),_xlfn.BASE($C12+2^16,2,16)),ABS(H$3-16),1))</f>
        <v>0</v>
      </c>
      <c r="I12" s="16" t="str">
        <f aca="false">IF(I$3="",".",MID(IF($C12&gt;0,_xlfn.BASE($C12,2,16),_xlfn.BASE($C12+2^16,2,16)),ABS(I$3-16),1))</f>
        <v>1</v>
      </c>
      <c r="J12" s="16" t="str">
        <f aca="false">IF(J$3="",".",MID(IF($C12&gt;0,_xlfn.BASE($C12,2,16),_xlfn.BASE($C12+2^16,2,16)),ABS(J$3-16),1))</f>
        <v>0</v>
      </c>
      <c r="K12" s="16" t="str">
        <f aca="false">IF(K$3="",".",MID(IF($C12&gt;0,_xlfn.BASE($C12,2,16),_xlfn.BASE($C12+2^16,2,16)),ABS(K$3-16),1))</f>
        <v>.</v>
      </c>
      <c r="L12" s="16" t="str">
        <f aca="false">IF(L$3="",".",MID(IF($C12&gt;0,_xlfn.BASE($C12,2,16),_xlfn.BASE($C12+2^16,2,16)),ABS(L$3-16),1))</f>
        <v>1</v>
      </c>
      <c r="M12" s="16" t="str">
        <f aca="false">IF(M$3="",".",MID(IF($C12&gt;0,_xlfn.BASE($C12,2,16),_xlfn.BASE($C12+2^16,2,16)),ABS(M$3-16),1))</f>
        <v>1</v>
      </c>
      <c r="N12" s="16" t="str">
        <f aca="false">IF(N$3="",".",MID(IF($C12&gt;0,_xlfn.BASE($C12,2,16),_xlfn.BASE($C12+2^16,2,16)),ABS(N$3-16),1))</f>
        <v>1</v>
      </c>
      <c r="O12" s="16" t="str">
        <f aca="false">IF(O$3="",".",MID(IF($C12&gt;0,_xlfn.BASE($C12,2,16),_xlfn.BASE($C12+2^16,2,16)),ABS(O$3-16),1))</f>
        <v>1</v>
      </c>
      <c r="P12" s="16" t="str">
        <f aca="false">IF(P$3="",".",MID(IF($C12&gt;0,_xlfn.BASE($C12,2,16),_xlfn.BASE($C12+2^16,2,16)),ABS(P$3-16),1))</f>
        <v>.</v>
      </c>
      <c r="Q12" s="16" t="str">
        <f aca="false">IF(Q$3="",".",MID(IF($C12&gt;0,_xlfn.BASE($C12,2,16),_xlfn.BASE($C12+2^16,2,16)),ABS(Q$3-16),1))</f>
        <v>0</v>
      </c>
      <c r="R12" s="16" t="str">
        <f aca="false">IF(R$3="",".",MID(IF($C12&gt;0,_xlfn.BASE($C12,2,16),_xlfn.BASE($C12+2^16,2,16)),ABS(R$3-16),1))</f>
        <v>0</v>
      </c>
      <c r="S12" s="16" t="str">
        <f aca="false">IF(S$3="",".",MID(IF($C12&gt;0,_xlfn.BASE($C12,2,16),_xlfn.BASE($C12+2^16,2,16)),ABS(S$3-16),1))</f>
        <v>0</v>
      </c>
      <c r="T12" s="16" t="str">
        <f aca="false">IF(T$3="",".",MID(IF($C12&gt;0,_xlfn.BASE($C12,2,16),_xlfn.BASE($C12+2^16,2,16)),ABS(T$3-16),1))</f>
        <v>1</v>
      </c>
      <c r="U12" s="16" t="str">
        <f aca="false">IF(U$3="",".",MID(IF($C12&gt;0,_xlfn.BASE($C12,2,16),_xlfn.BASE($C12+2^16,2,16)),ABS(U$3-16),1))</f>
        <v>.</v>
      </c>
      <c r="V12" s="16" t="str">
        <f aca="false">IF(V$3="",".",MID(IF($C12&gt;0,_xlfn.BASE($C12,2,16),_xlfn.BASE($C12+2^16,2,16)),ABS(V$3-16),1))</f>
        <v>0</v>
      </c>
      <c r="W12" s="16" t="str">
        <f aca="false">IF(W$3="",".",MID(IF($C12&gt;0,_xlfn.BASE($C12,2,16),_xlfn.BASE($C12+2^16,2,16)),ABS(W$3-16),1))</f>
        <v>0</v>
      </c>
      <c r="X12" s="16" t="str">
        <f aca="false">IF(X$3="",".",MID(IF($C12&gt;0,_xlfn.BASE($C12,2,16),_xlfn.BASE($C12+2^16,2,16)),ABS(X$3-16),1))</f>
        <v>1</v>
      </c>
      <c r="Y12" s="17" t="str">
        <f aca="false">IF(Y$3="",".",MID(IF($C12&gt;0,_xlfn.BASE($C12,2,16),_xlfn.BASE($C12+2^16,2,16)),ABS(Y$3-16),1))</f>
        <v>0</v>
      </c>
    </row>
    <row r="13" customFormat="false" ht="13.8" hidden="false" customHeight="false" outlineLevel="0" collapsed="false">
      <c r="A13" s="14" t="s">
        <v>34</v>
      </c>
      <c r="B13" s="15" t="s">
        <v>35</v>
      </c>
      <c r="C13" s="2" t="n">
        <f aca="false">-C7</f>
        <v>-34918</v>
      </c>
      <c r="D13" s="2"/>
      <c r="E13" s="2" t="s">
        <v>36</v>
      </c>
      <c r="F13" s="15" t="str">
        <f aca="false">"-B4="</f>
        <v>-B4=</v>
      </c>
      <c r="G13" s="16" t="str">
        <f aca="false">IF(G$3="",".",MID(IF($C13&gt;0,_xlfn.BASE($C13,2,16),_xlfn.BASE($C13+2^16,2,16)),ABS(G$3-16),1))</f>
        <v>0</v>
      </c>
      <c r="H13" s="16" t="str">
        <f aca="false">IF(H$3="",".",MID(IF($C13&gt;0,_xlfn.BASE($C13,2,16),_xlfn.BASE($C13+2^16,2,16)),ABS(H$3-16),1))</f>
        <v>1</v>
      </c>
      <c r="I13" s="16" t="str">
        <f aca="false">IF(I$3="",".",MID(IF($C13&gt;0,_xlfn.BASE($C13,2,16),_xlfn.BASE($C13+2^16,2,16)),ABS(I$3-16),1))</f>
        <v>1</v>
      </c>
      <c r="J13" s="16" t="str">
        <f aca="false">IF(J$3="",".",MID(IF($C13&gt;0,_xlfn.BASE($C13,2,16),_xlfn.BASE($C13+2^16,2,16)),ABS(J$3-16),1))</f>
        <v>1</v>
      </c>
      <c r="K13" s="16" t="str">
        <f aca="false">IF(K$3="",".",MID(IF($C13&gt;0,_xlfn.BASE($C13,2,16),_xlfn.BASE($C13+2^16,2,16)),ABS(K$3-16),1))</f>
        <v>.</v>
      </c>
      <c r="L13" s="16" t="str">
        <f aca="false">IF(L$3="",".",MID(IF($C13&gt;0,_xlfn.BASE($C13,2,16),_xlfn.BASE($C13+2^16,2,16)),ABS(L$3-16),1))</f>
        <v>0</v>
      </c>
      <c r="M13" s="16" t="str">
        <f aca="false">IF(M$3="",".",MID(IF($C13&gt;0,_xlfn.BASE($C13,2,16),_xlfn.BASE($C13+2^16,2,16)),ABS(M$3-16),1))</f>
        <v>1</v>
      </c>
      <c r="N13" s="16" t="str">
        <f aca="false">IF(N$3="",".",MID(IF($C13&gt;0,_xlfn.BASE($C13,2,16),_xlfn.BASE($C13+2^16,2,16)),ABS(N$3-16),1))</f>
        <v>1</v>
      </c>
      <c r="O13" s="16" t="str">
        <f aca="false">IF(O$3="",".",MID(IF($C13&gt;0,_xlfn.BASE($C13,2,16),_xlfn.BASE($C13+2^16,2,16)),ABS(O$3-16),1))</f>
        <v>1</v>
      </c>
      <c r="P13" s="16" t="str">
        <f aca="false">IF(P$3="",".",MID(IF($C13&gt;0,_xlfn.BASE($C13,2,16),_xlfn.BASE($C13+2^16,2,16)),ABS(P$3-16),1))</f>
        <v>.</v>
      </c>
      <c r="Q13" s="16" t="str">
        <f aca="false">IF(Q$3="",".",MID(IF($C13&gt;0,_xlfn.BASE($C13,2,16),_xlfn.BASE($C13+2^16,2,16)),ABS(Q$3-16),1))</f>
        <v>1</v>
      </c>
      <c r="R13" s="16" t="str">
        <f aca="false">IF(R$3="",".",MID(IF($C13&gt;0,_xlfn.BASE($C13,2,16),_xlfn.BASE($C13+2^16,2,16)),ABS(R$3-16),1))</f>
        <v>0</v>
      </c>
      <c r="S13" s="16" t="str">
        <f aca="false">IF(S$3="",".",MID(IF($C13&gt;0,_xlfn.BASE($C13,2,16),_xlfn.BASE($C13+2^16,2,16)),ABS(S$3-16),1))</f>
        <v>0</v>
      </c>
      <c r="T13" s="16" t="str">
        <f aca="false">IF(T$3="",".",MID(IF($C13&gt;0,_xlfn.BASE($C13,2,16),_xlfn.BASE($C13+2^16,2,16)),ABS(T$3-16),1))</f>
        <v>1</v>
      </c>
      <c r="U13" s="16" t="str">
        <f aca="false">IF(U$3="",".",MID(IF($C13&gt;0,_xlfn.BASE($C13,2,16),_xlfn.BASE($C13+2^16,2,16)),ABS(U$3-16),1))</f>
        <v>.</v>
      </c>
      <c r="V13" s="16" t="str">
        <f aca="false">IF(V$3="",".",MID(IF($C13&gt;0,_xlfn.BASE($C13,2,16),_xlfn.BASE($C13+2^16,2,16)),ABS(V$3-16),1))</f>
        <v>1</v>
      </c>
      <c r="W13" s="16" t="str">
        <f aca="false">IF(W$3="",".",MID(IF($C13&gt;0,_xlfn.BASE($C13,2,16),_xlfn.BASE($C13+2^16,2,16)),ABS(W$3-16),1))</f>
        <v>0</v>
      </c>
      <c r="X13" s="16" t="str">
        <f aca="false">IF(X$3="",".",MID(IF($C13&gt;0,_xlfn.BASE($C13,2,16),_xlfn.BASE($C13+2^16,2,16)),ABS(X$3-16),1))</f>
        <v>1</v>
      </c>
      <c r="Y13" s="17" t="str">
        <f aca="false">IF(Y$3="",".",MID(IF($C13&gt;0,_xlfn.BASE($C13,2,16),_xlfn.BASE($C13+2^16,2,16)),ABS(Y$3-16),1))</f>
        <v>0</v>
      </c>
    </row>
    <row r="14" customFormat="false" ht="13.8" hidden="false" customHeight="false" outlineLevel="0" collapsed="false">
      <c r="A14" s="14" t="s">
        <v>37</v>
      </c>
      <c r="B14" s="15" t="s">
        <v>38</v>
      </c>
      <c r="C14" s="2" t="n">
        <f aca="false">-C8</f>
        <v>-7682</v>
      </c>
      <c r="D14" s="2"/>
      <c r="E14" s="2" t="s">
        <v>39</v>
      </c>
      <c r="F14" s="15" t="str">
        <f aca="false">"-B5="</f>
        <v>-B5=</v>
      </c>
      <c r="G14" s="16" t="str">
        <f aca="false">IF(G$3="",".",MID(IF($C14&gt;0,_xlfn.BASE($C14,2,16),_xlfn.BASE($C14+2^16,2,16)),ABS(G$3-16),1))</f>
        <v>1</v>
      </c>
      <c r="H14" s="16" t="str">
        <f aca="false">IF(H$3="",".",MID(IF($C14&gt;0,_xlfn.BASE($C14,2,16),_xlfn.BASE($C14+2^16,2,16)),ABS(H$3-16),1))</f>
        <v>1</v>
      </c>
      <c r="I14" s="16" t="str">
        <f aca="false">IF(I$3="",".",MID(IF($C14&gt;0,_xlfn.BASE($C14,2,16),_xlfn.BASE($C14+2^16,2,16)),ABS(I$3-16),1))</f>
        <v>1</v>
      </c>
      <c r="J14" s="16" t="str">
        <f aca="false">IF(J$3="",".",MID(IF($C14&gt;0,_xlfn.BASE($C14,2,16),_xlfn.BASE($C14+2^16,2,16)),ABS(J$3-16),1))</f>
        <v>0</v>
      </c>
      <c r="K14" s="16" t="str">
        <f aca="false">IF(K$3="",".",MID(IF($C14&gt;0,_xlfn.BASE($C14,2,16),_xlfn.BASE($C14+2^16,2,16)),ABS(K$3-16),1))</f>
        <v>.</v>
      </c>
      <c r="L14" s="16" t="str">
        <f aca="false">IF(L$3="",".",MID(IF($C14&gt;0,_xlfn.BASE($C14,2,16),_xlfn.BASE($C14+2^16,2,16)),ABS(L$3-16),1))</f>
        <v>0</v>
      </c>
      <c r="M14" s="16" t="str">
        <f aca="false">IF(M$3="",".",MID(IF($C14&gt;0,_xlfn.BASE($C14,2,16),_xlfn.BASE($C14+2^16,2,16)),ABS(M$3-16),1))</f>
        <v>0</v>
      </c>
      <c r="N14" s="16" t="str">
        <f aca="false">IF(N$3="",".",MID(IF($C14&gt;0,_xlfn.BASE($C14,2,16),_xlfn.BASE($C14+2^16,2,16)),ABS(N$3-16),1))</f>
        <v>0</v>
      </c>
      <c r="O14" s="16" t="str">
        <f aca="false">IF(O$3="",".",MID(IF($C14&gt;0,_xlfn.BASE($C14,2,16),_xlfn.BASE($C14+2^16,2,16)),ABS(O$3-16),1))</f>
        <v>1</v>
      </c>
      <c r="P14" s="16" t="str">
        <f aca="false">IF(P$3="",".",MID(IF($C14&gt;0,_xlfn.BASE($C14,2,16),_xlfn.BASE($C14+2^16,2,16)),ABS(P$3-16),1))</f>
        <v>.</v>
      </c>
      <c r="Q14" s="16" t="str">
        <f aca="false">IF(Q$3="",".",MID(IF($C14&gt;0,_xlfn.BASE($C14,2,16),_xlfn.BASE($C14+2^16,2,16)),ABS(Q$3-16),1))</f>
        <v>1</v>
      </c>
      <c r="R14" s="16" t="str">
        <f aca="false">IF(R$3="",".",MID(IF($C14&gt;0,_xlfn.BASE($C14,2,16),_xlfn.BASE($C14+2^16,2,16)),ABS(R$3-16),1))</f>
        <v>1</v>
      </c>
      <c r="S14" s="16" t="str">
        <f aca="false">IF(S$3="",".",MID(IF($C14&gt;0,_xlfn.BASE($C14,2,16),_xlfn.BASE($C14+2^16,2,16)),ABS(S$3-16),1))</f>
        <v>1</v>
      </c>
      <c r="T14" s="16" t="str">
        <f aca="false">IF(T$3="",".",MID(IF($C14&gt;0,_xlfn.BASE($C14,2,16),_xlfn.BASE($C14+2^16,2,16)),ABS(T$3-16),1))</f>
        <v>1</v>
      </c>
      <c r="U14" s="16" t="str">
        <f aca="false">IF(U$3="",".",MID(IF($C14&gt;0,_xlfn.BASE($C14,2,16),_xlfn.BASE($C14+2^16,2,16)),ABS(U$3-16),1))</f>
        <v>.</v>
      </c>
      <c r="V14" s="16" t="str">
        <f aca="false">IF(V$3="",".",MID(IF($C14&gt;0,_xlfn.BASE($C14,2,16),_xlfn.BASE($C14+2^16,2,16)),ABS(V$3-16),1))</f>
        <v>1</v>
      </c>
      <c r="W14" s="16" t="str">
        <f aca="false">IF(W$3="",".",MID(IF($C14&gt;0,_xlfn.BASE($C14,2,16),_xlfn.BASE($C14+2^16,2,16)),ABS(W$3-16),1))</f>
        <v>1</v>
      </c>
      <c r="X14" s="16" t="str">
        <f aca="false">IF(X$3="",".",MID(IF($C14&gt;0,_xlfn.BASE($C14,2,16),_xlfn.BASE($C14+2^16,2,16)),ABS(X$3-16),1))</f>
        <v>1</v>
      </c>
      <c r="Y14" s="17" t="str">
        <f aca="false">IF(Y$3="",".",MID(IF($C14&gt;0,_xlfn.BASE($C14,2,16),_xlfn.BASE($C14+2^16,2,16)),ABS(Y$3-16),1))</f>
        <v>0</v>
      </c>
    </row>
    <row r="15" customFormat="false" ht="13.8" hidden="false" customHeight="false" outlineLevel="0" collapsed="false">
      <c r="A15" s="6" t="s">
        <v>40</v>
      </c>
      <c r="B15" s="18" t="s">
        <v>41</v>
      </c>
      <c r="C15" s="19" t="n">
        <f aca="false">-C9</f>
        <v>-30618</v>
      </c>
      <c r="D15" s="19"/>
      <c r="E15" s="19" t="s">
        <v>42</v>
      </c>
      <c r="F15" s="18" t="str">
        <f aca="false">"-B6="</f>
        <v>-B6=</v>
      </c>
      <c r="G15" s="20" t="str">
        <f aca="false">IF(G$3="",".",MID(IF($C15&gt;0,_xlfn.BASE($C15,2,16),_xlfn.BASE($C15+2^16,2,16)),ABS(G$3-16),1))</f>
        <v>1</v>
      </c>
      <c r="H15" s="20" t="str">
        <f aca="false">IF(H$3="",".",MID(IF($C15&gt;0,_xlfn.BASE($C15,2,16),_xlfn.BASE($C15+2^16,2,16)),ABS(H$3-16),1))</f>
        <v>0</v>
      </c>
      <c r="I15" s="20" t="str">
        <f aca="false">IF(I$3="",".",MID(IF($C15&gt;0,_xlfn.BASE($C15,2,16),_xlfn.BASE($C15+2^16,2,16)),ABS(I$3-16),1))</f>
        <v>0</v>
      </c>
      <c r="J15" s="20" t="str">
        <f aca="false">IF(J$3="",".",MID(IF($C15&gt;0,_xlfn.BASE($C15,2,16),_xlfn.BASE($C15+2^16,2,16)),ABS(J$3-16),1))</f>
        <v>0</v>
      </c>
      <c r="K15" s="20" t="str">
        <f aca="false">IF(K$3="",".",MID(IF($C15&gt;0,_xlfn.BASE($C15,2,16),_xlfn.BASE($C15+2^16,2,16)),ABS(K$3-16),1))</f>
        <v>.</v>
      </c>
      <c r="L15" s="20" t="str">
        <f aca="false">IF(L$3="",".",MID(IF($C15&gt;0,_xlfn.BASE($C15,2,16),_xlfn.BASE($C15+2^16,2,16)),ABS(L$3-16),1))</f>
        <v>1</v>
      </c>
      <c r="M15" s="20" t="str">
        <f aca="false">IF(M$3="",".",MID(IF($C15&gt;0,_xlfn.BASE($C15,2,16),_xlfn.BASE($C15+2^16,2,16)),ABS(M$3-16),1))</f>
        <v>0</v>
      </c>
      <c r="N15" s="20" t="str">
        <f aca="false">IF(N$3="",".",MID(IF($C15&gt;0,_xlfn.BASE($C15,2,16),_xlfn.BASE($C15+2^16,2,16)),ABS(N$3-16),1))</f>
        <v>0</v>
      </c>
      <c r="O15" s="20" t="str">
        <f aca="false">IF(O$3="",".",MID(IF($C15&gt;0,_xlfn.BASE($C15,2,16),_xlfn.BASE($C15+2^16,2,16)),ABS(O$3-16),1))</f>
        <v>0</v>
      </c>
      <c r="P15" s="20" t="str">
        <f aca="false">IF(P$3="",".",MID(IF($C15&gt;0,_xlfn.BASE($C15,2,16),_xlfn.BASE($C15+2^16,2,16)),ABS(P$3-16),1))</f>
        <v>.</v>
      </c>
      <c r="Q15" s="20" t="str">
        <f aca="false">IF(Q$3="",".",MID(IF($C15&gt;0,_xlfn.BASE($C15,2,16),_xlfn.BASE($C15+2^16,2,16)),ABS(Q$3-16),1))</f>
        <v>0</v>
      </c>
      <c r="R15" s="20" t="str">
        <f aca="false">IF(R$3="",".",MID(IF($C15&gt;0,_xlfn.BASE($C15,2,16),_xlfn.BASE($C15+2^16,2,16)),ABS(R$3-16),1))</f>
        <v>1</v>
      </c>
      <c r="S15" s="20" t="str">
        <f aca="false">IF(S$3="",".",MID(IF($C15&gt;0,_xlfn.BASE($C15,2,16),_xlfn.BASE($C15+2^16,2,16)),ABS(S$3-16),1))</f>
        <v>1</v>
      </c>
      <c r="T15" s="20" t="str">
        <f aca="false">IF(T$3="",".",MID(IF($C15&gt;0,_xlfn.BASE($C15,2,16),_xlfn.BASE($C15+2^16,2,16)),ABS(T$3-16),1))</f>
        <v>0</v>
      </c>
      <c r="U15" s="20" t="str">
        <f aca="false">IF(U$3="",".",MID(IF($C15&gt;0,_xlfn.BASE($C15,2,16),_xlfn.BASE($C15+2^16,2,16)),ABS(U$3-16),1))</f>
        <v>.</v>
      </c>
      <c r="V15" s="20" t="str">
        <f aca="false">IF(V$3="",".",MID(IF($C15&gt;0,_xlfn.BASE($C15,2,16),_xlfn.BASE($C15+2^16,2,16)),ABS(V$3-16),1))</f>
        <v>0</v>
      </c>
      <c r="W15" s="20" t="str">
        <f aca="false">IF(W$3="",".",MID(IF($C15&gt;0,_xlfn.BASE($C15,2,16),_xlfn.BASE($C15+2^16,2,16)),ABS(W$3-16),1))</f>
        <v>1</v>
      </c>
      <c r="X15" s="20" t="str">
        <f aca="false">IF(X$3="",".",MID(IF($C15&gt;0,_xlfn.BASE($C15,2,16),_xlfn.BASE($C15+2^16,2,16)),ABS(X$3-16),1))</f>
        <v>1</v>
      </c>
      <c r="Y15" s="21" t="str">
        <f aca="false">IF(Y$3="",".",MID(IF($C15&gt;0,_xlfn.BASE($C15,2,16),_xlfn.BASE($C15+2^16,2,16)),ABS(Y$3-16),1))</f>
        <v>0</v>
      </c>
    </row>
    <row r="17" customFormat="false" ht="13.8" hidden="false" customHeight="false" outlineLevel="0" collapsed="false">
      <c r="E17" s="1" t="s">
        <v>43</v>
      </c>
      <c r="G17" s="22" t="n">
        <f aca="false">IF(G18&lt;&gt;".",IF(G18+G19&lt;&gt;0,IF(G18+G19+H17=3,1,MOD(G18+G19+H17-1,2)),0),H17)</f>
        <v>0</v>
      </c>
      <c r="H17" s="22" t="n">
        <f aca="false">IF(H18&lt;&gt;".",IF(H18+H19&lt;&gt;0,IF(H18+H19+I17=3,1,MOD(H18+H19+I17-1,2)),0),I17)</f>
        <v>0</v>
      </c>
      <c r="I17" s="22" t="n">
        <f aca="false">IF(I18&lt;&gt;".",IF(I18+I19&lt;&gt;0,IF(I18+I19+J17=3,1,MOD(I18+I19+J17-1,2)),0),J17)</f>
        <v>1</v>
      </c>
      <c r="J17" s="22" t="n">
        <f aca="false">IF(J18&lt;&gt;".",IF(J18+J19&lt;&gt;0,IF(J18+J19+K17=3,1,MOD(J18+J19+K17-1,2)),0),K17)</f>
        <v>1</v>
      </c>
      <c r="K17" s="23" t="n">
        <f aca="false">IF(K18&lt;&gt;".",IF(K18+K19&lt;&gt;0,IF(K18+K19+L17=3,1,MOD(K18+K19+L17-1,2)),0),L17)</f>
        <v>1</v>
      </c>
      <c r="L17" s="22" t="n">
        <f aca="false">IF(L18&lt;&gt;".",IF(L18+L19&lt;&gt;0,IF(L18+L19+M17=3,1,MOD(L18+L19+M17-1,2)),0),M17)</f>
        <v>1</v>
      </c>
      <c r="M17" s="22" t="n">
        <f aca="false">IF(M18&lt;&gt;".",IF(M18+M19&lt;&gt;0,IF(M18+M19+N17=3,1,MOD(M18+M19+N17-1,2)),0),N17)</f>
        <v>1</v>
      </c>
      <c r="N17" s="22" t="n">
        <f aca="false">IF(N18&lt;&gt;".",IF(N18+N19&lt;&gt;0,IF(N18+N19+O17=3,1,MOD(N18+N19+O17-1,2)),0),O17)</f>
        <v>1</v>
      </c>
      <c r="O17" s="22" t="n">
        <f aca="false">IF(O18&lt;&gt;".",IF(O18+O19&lt;&gt;0,IF(O18+O19+P17=3,1,MOD(O18+O19+P17-1,2)),0),P17)</f>
        <v>1</v>
      </c>
      <c r="P17" s="23" t="n">
        <f aca="false">IF(P18&lt;&gt;".",IF(P18+P19&lt;&gt;0,IF(P18+P19+Q17=3,1,MOD(P18+P19+Q17-1,2)),0),Q17)</f>
        <v>0</v>
      </c>
      <c r="Q17" s="22" t="n">
        <f aca="false">IF(Q18&lt;&gt;".",IF(Q18+Q19&lt;&gt;0,IF(Q18+Q19+R17=3,1,MOD(Q18+Q19+R17-1,2)),0),R17)</f>
        <v>0</v>
      </c>
      <c r="R17" s="22" t="n">
        <f aca="false">IF(R18&lt;&gt;".",IF(R18+R19&lt;&gt;0,IF(R18+R19+S17=3,1,MOD(R18+R19+S17-1,2)),0),S17)</f>
        <v>1</v>
      </c>
      <c r="S17" s="22" t="n">
        <f aca="false">IF(S18&lt;&gt;".",IF(S18+S19&lt;&gt;0,IF(S18+S19+T17=3,1,MOD(S18+S19+T17-1,2)),0),T17)</f>
        <v>1</v>
      </c>
      <c r="T17" s="22" t="n">
        <f aca="false">IF(T18&lt;&gt;".",IF(T18+T19&lt;&gt;0,IF(T18+T19+U17=3,1,MOD(T18+T19+U17-1,2)),0),U17)</f>
        <v>1</v>
      </c>
      <c r="U17" s="23" t="n">
        <f aca="false">IF(U18&lt;&gt;".",IF(U18+U19&lt;&gt;0,IF(U18+U19+V17=3,1,MOD(U18+U19+V17-1,2)),0),V17)</f>
        <v>0</v>
      </c>
      <c r="V17" s="22" t="n">
        <f aca="false">IF(V18&lt;&gt;".",IF(V18+V19&lt;&gt;0,IF(V18+V19+W17=3,1,MOD(V18+V19+W17-1,2)),0),W17)</f>
        <v>0</v>
      </c>
      <c r="W17" s="22" t="n">
        <f aca="false">IF(W18&lt;&gt;".",IF(W18+W19&lt;&gt;0,IF(W18+W19+X17=3,1,MOD(W18+W19+X17-1,2)),0),X17)</f>
        <v>0</v>
      </c>
      <c r="X17" s="22" t="n">
        <f aca="false">IF(X18&lt;&gt;".",IF(X18+X19&lt;&gt;0,IF(X18+X19+Y17=3,1,MOD(X18+X19+Y17-1,2)),0),Y17)</f>
        <v>0</v>
      </c>
      <c r="Y17" s="22" t="n">
        <f aca="false">IF(Y18&lt;&gt;".",IF(Y18+Y19&lt;&gt;0,IF(Y18+Y19+Z17=3,1,MOD(Y18+Y19+Z17-1,2)),0),Z17)</f>
        <v>0</v>
      </c>
    </row>
    <row r="18" customFormat="false" ht="16.4" hidden="false" customHeight="false" outlineLevel="0" collapsed="false">
      <c r="E18" s="24" t="s">
        <v>44</v>
      </c>
      <c r="G18" s="16" t="str">
        <f aca="false">G4</f>
        <v>0</v>
      </c>
      <c r="H18" s="16" t="str">
        <f aca="false">H4</f>
        <v>0</v>
      </c>
      <c r="I18" s="16" t="str">
        <f aca="false">I4</f>
        <v>0</v>
      </c>
      <c r="J18" s="16" t="str">
        <f aca="false">J4</f>
        <v>1</v>
      </c>
      <c r="K18" s="16" t="str">
        <f aca="false">K4</f>
        <v>.</v>
      </c>
      <c r="L18" s="16" t="str">
        <f aca="false">L4</f>
        <v>1</v>
      </c>
      <c r="M18" s="16" t="str">
        <f aca="false">M4</f>
        <v>0</v>
      </c>
      <c r="N18" s="16" t="str">
        <f aca="false">N4</f>
        <v>0</v>
      </c>
      <c r="O18" s="16" t="str">
        <f aca="false">O4</f>
        <v>1</v>
      </c>
      <c r="P18" s="16" t="str">
        <f aca="false">P4</f>
        <v>.</v>
      </c>
      <c r="Q18" s="16" t="str">
        <f aca="false">Q4</f>
        <v>0</v>
      </c>
      <c r="R18" s="16" t="str">
        <f aca="false">R4</f>
        <v>1</v>
      </c>
      <c r="S18" s="16" t="str">
        <f aca="false">S4</f>
        <v>1</v>
      </c>
      <c r="T18" s="16" t="str">
        <f aca="false">T4</f>
        <v>1</v>
      </c>
      <c r="U18" s="16" t="str">
        <f aca="false">U4</f>
        <v>.</v>
      </c>
      <c r="V18" s="16" t="str">
        <f aca="false">V4</f>
        <v>0</v>
      </c>
      <c r="W18" s="16" t="str">
        <f aca="false">W4</f>
        <v>1</v>
      </c>
      <c r="X18" s="16" t="str">
        <f aca="false">X4</f>
        <v>1</v>
      </c>
      <c r="Y18" s="16" t="str">
        <f aca="false">Y4</f>
        <v>0</v>
      </c>
      <c r="AC18" s="1" t="s">
        <v>45</v>
      </c>
      <c r="AD18" s="1" t="n">
        <f aca="false">C4</f>
        <v>6518</v>
      </c>
    </row>
    <row r="19" customFormat="false" ht="16.4" hidden="false" customHeight="false" outlineLevel="0" collapsed="false">
      <c r="D19" s="15" t="s">
        <v>46</v>
      </c>
      <c r="E19" s="1" t="s">
        <v>47</v>
      </c>
      <c r="G19" s="20" t="str">
        <f aca="false">G5</f>
        <v>0</v>
      </c>
      <c r="H19" s="20" t="str">
        <f aca="false">H5</f>
        <v>0</v>
      </c>
      <c r="I19" s="20" t="str">
        <f aca="false">I5</f>
        <v>1</v>
      </c>
      <c r="J19" s="20" t="str">
        <f aca="false">J5</f>
        <v>1</v>
      </c>
      <c r="K19" s="20" t="str">
        <f aca="false">K5</f>
        <v>.</v>
      </c>
      <c r="L19" s="20" t="str">
        <f aca="false">L5</f>
        <v>0</v>
      </c>
      <c r="M19" s="20" t="str">
        <f aca="false">M5</f>
        <v>1</v>
      </c>
      <c r="N19" s="20" t="str">
        <f aca="false">N5</f>
        <v>1</v>
      </c>
      <c r="O19" s="20" t="str">
        <f aca="false">O5</f>
        <v>1</v>
      </c>
      <c r="P19" s="20" t="str">
        <f aca="false">P5</f>
        <v>.</v>
      </c>
      <c r="Q19" s="20" t="str">
        <f aca="false">Q5</f>
        <v>0</v>
      </c>
      <c r="R19" s="20" t="str">
        <f aca="false">R5</f>
        <v>1</v>
      </c>
      <c r="S19" s="20" t="str">
        <f aca="false">S5</f>
        <v>1</v>
      </c>
      <c r="T19" s="20" t="str">
        <f aca="false">T5</f>
        <v>1</v>
      </c>
      <c r="U19" s="20" t="str">
        <f aca="false">U5</f>
        <v>.</v>
      </c>
      <c r="V19" s="20" t="str">
        <f aca="false">V5</f>
        <v>1</v>
      </c>
      <c r="W19" s="20" t="str">
        <f aca="false">W5</f>
        <v>0</v>
      </c>
      <c r="X19" s="20" t="str">
        <f aca="false">X5</f>
        <v>0</v>
      </c>
      <c r="Y19" s="20" t="str">
        <f aca="false">Y5</f>
        <v>0</v>
      </c>
      <c r="AB19" s="15" t="s">
        <v>46</v>
      </c>
      <c r="AC19" s="25" t="s">
        <v>48</v>
      </c>
      <c r="AD19" s="25" t="n">
        <f aca="false">C5</f>
        <v>14200</v>
      </c>
      <c r="AG19" s="1" t="str">
        <f aca="false">IF(W22=0,IF(AND(AA20=AD20,H22=0),$AG$2,$AG$4),IF(G20=0,$AG$5,$AG$3))</f>
        <v>Результат коррекный</v>
      </c>
    </row>
    <row r="20" customFormat="false" ht="16.4" hidden="false" customHeight="false" outlineLevel="0" collapsed="false">
      <c r="G20" s="16" t="n">
        <f aca="false">IF(G18&lt;&gt;".",MOD(H17+G18+G19,2),".")</f>
        <v>0</v>
      </c>
      <c r="H20" s="16" t="n">
        <f aca="false">IF(H18&lt;&gt;".",MOD(I17+H18+H19,2),".")</f>
        <v>1</v>
      </c>
      <c r="I20" s="16" t="n">
        <f aca="false">IF(I18&lt;&gt;".",MOD(J17+I18+I19,2),".")</f>
        <v>0</v>
      </c>
      <c r="J20" s="16" t="n">
        <f aca="false">IF(J18&lt;&gt;".",MOD(K17+J18+J19,2),".")</f>
        <v>1</v>
      </c>
      <c r="K20" s="16" t="str">
        <f aca="false">IF(K18&lt;&gt;".",MOD(L17+K18+K19,2),".")</f>
        <v>.</v>
      </c>
      <c r="L20" s="16" t="n">
        <f aca="false">IF(L18&lt;&gt;".",MOD(M17+L18+L19,2),".")</f>
        <v>0</v>
      </c>
      <c r="M20" s="16" t="n">
        <f aca="false">IF(M18&lt;&gt;".",MOD(N17+M18+M19,2),".")</f>
        <v>0</v>
      </c>
      <c r="N20" s="16" t="n">
        <f aca="false">IF(N18&lt;&gt;".",MOD(O17+N18+N19,2),".")</f>
        <v>0</v>
      </c>
      <c r="O20" s="16" t="n">
        <f aca="false">IF(O18&lt;&gt;".",MOD(P17+O18+O19,2),".")</f>
        <v>0</v>
      </c>
      <c r="P20" s="16" t="str">
        <f aca="false">IF(P18&lt;&gt;".",MOD(Q17+P18+P19,2),".")</f>
        <v>.</v>
      </c>
      <c r="Q20" s="16" t="n">
        <f aca="false">IF(Q18&lt;&gt;".",MOD(R17+Q18+Q19,2),".")</f>
        <v>1</v>
      </c>
      <c r="R20" s="16" t="n">
        <f aca="false">IF(R18&lt;&gt;".",MOD(S17+R18+R19,2),".")</f>
        <v>1</v>
      </c>
      <c r="S20" s="16" t="n">
        <f aca="false">IF(S18&lt;&gt;".",MOD(T17+S18+S19,2),".")</f>
        <v>1</v>
      </c>
      <c r="T20" s="16" t="n">
        <f aca="false">IF(T18&lt;&gt;".",MOD(U17+T18+T19,2),".")</f>
        <v>0</v>
      </c>
      <c r="U20" s="16" t="str">
        <f aca="false">IF(U18&lt;&gt;".",MOD(V17+U18+U19,2),".")</f>
        <v>.</v>
      </c>
      <c r="V20" s="16" t="n">
        <f aca="false">IF(V18&lt;&gt;".",MOD(W17+V18+V19,2),".")</f>
        <v>1</v>
      </c>
      <c r="W20" s="16" t="n">
        <f aca="false">IF(W18&lt;&gt;".",MOD(X17+W18+W19,2),".")</f>
        <v>1</v>
      </c>
      <c r="X20" s="16" t="n">
        <f aca="false">IF(X18&lt;&gt;".",MOD(Y17+X18+X19,2),".")</f>
        <v>1</v>
      </c>
      <c r="Y20" s="16" t="n">
        <f aca="false">IF(Y18&lt;&gt;".",MOD(Z17+Y18+Y19,2),".")</f>
        <v>0</v>
      </c>
      <c r="Z20" s="26" t="s">
        <v>49</v>
      </c>
      <c r="AA20" s="15" t="n">
        <f aca="false"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20718</v>
      </c>
      <c r="AB20" s="26" t="s">
        <v>50</v>
      </c>
      <c r="AD20" s="1" t="n">
        <f aca="false">AD18+AD19</f>
        <v>20718</v>
      </c>
      <c r="AE20" s="26" t="s">
        <v>50</v>
      </c>
    </row>
    <row r="21" customFormat="false" ht="13.8" hidden="false" customHeight="false" outlineLevel="0" collapsed="false">
      <c r="E21" s="1" t="s">
        <v>51</v>
      </c>
      <c r="G21" s="16" t="str">
        <f aca="false">IF(G20=0,"",1)</f>
        <v/>
      </c>
      <c r="H21" s="16" t="str">
        <f aca="false"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16" t="str">
        <f aca="false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16" t="str">
        <f aca="false">IF(J20&lt;&gt;".",IF($G$21=1,MID(_xlfn.BASE(ABS(_xlfn.DECIMAL($H20&amp;$I20&amp;$J20&amp;$L20&amp;$M20&amp;$N20&amp;$O20&amp;$Q20&amp;$R20&amp;$S20&amp;$T20&amp;$V20&amp;$W20&amp;$X20&amp;$Y20,2)-2^16),2,16),ABS(J$3-16),1),""),".")</f>
        <v/>
      </c>
      <c r="K21" s="16" t="str">
        <f aca="false">IF(K20&lt;&gt;".",IF($G$21=1,MID(_xlfn.BASE(ABS(_xlfn.DECIMAL($H20&amp;$I20&amp;$J20&amp;$L20&amp;$M20&amp;$N20&amp;$O20&amp;$Q20&amp;$R20&amp;$S20&amp;$T20&amp;$V20&amp;$W20&amp;$X20&amp;$Y20,2)-2^16),2,16),ABS(K$3-16),1),""),".")</f>
        <v>.</v>
      </c>
      <c r="L21" s="16" t="str">
        <f aca="false">IF(L20&lt;&gt;".",IF($G$21=1,MID(_xlfn.BASE(ABS(_xlfn.DECIMAL($H20&amp;$I20&amp;$J20&amp;$L20&amp;$M20&amp;$N20&amp;$O20&amp;$Q20&amp;$R20&amp;$S20&amp;$T20&amp;$V20&amp;$W20&amp;$X20&amp;$Y20,2)-2^16),2,16),ABS(L$3-16),1),""),".")</f>
        <v/>
      </c>
      <c r="M21" s="16" t="str">
        <f aca="false">IF(M20&lt;&gt;".",IF($G$21=1,MID(_xlfn.BASE(ABS(_xlfn.DECIMAL($H20&amp;$I20&amp;$J20&amp;$L20&amp;$M20&amp;$N20&amp;$O20&amp;$Q20&amp;$R20&amp;$S20&amp;$T20&amp;$V20&amp;$W20&amp;$X20&amp;$Y20,2)-2^16),2,16),ABS(M$3-16),1),""),".")</f>
        <v/>
      </c>
      <c r="N21" s="16" t="str">
        <f aca="false">IF(N20&lt;&gt;".",IF($G$21=1,MID(_xlfn.BASE(ABS(_xlfn.DECIMAL($H20&amp;$I20&amp;$J20&amp;$L20&amp;$M20&amp;$N20&amp;$O20&amp;$Q20&amp;$R20&amp;$S20&amp;$T20&amp;$V20&amp;$W20&amp;$X20&amp;$Y20,2)-2^16),2,16),ABS(N$3-16),1),""),".")</f>
        <v/>
      </c>
      <c r="O21" s="16" t="str">
        <f aca="false">IF(O20&lt;&gt;".",IF($G$21=1,MID(_xlfn.BASE(ABS(_xlfn.DECIMAL($H20&amp;$I20&amp;$J20&amp;$L20&amp;$M20&amp;$N20&amp;$O20&amp;$Q20&amp;$R20&amp;$S20&amp;$T20&amp;$V20&amp;$W20&amp;$X20&amp;$Y20,2)-2^16),2,16),ABS(O$3-16),1),""),".")</f>
        <v/>
      </c>
      <c r="P21" s="16" t="str">
        <f aca="false">IF(P20&lt;&gt;".",IF($G$21=1,MID(_xlfn.BASE(ABS(_xlfn.DECIMAL($H20&amp;$I20&amp;$J20&amp;$L20&amp;$M20&amp;$N20&amp;$O20&amp;$Q20&amp;$R20&amp;$S20&amp;$T20&amp;$V20&amp;$W20&amp;$X20&amp;$Y20,2)-2^16),2,16),ABS(P$3-16),1),""),".")</f>
        <v>.</v>
      </c>
      <c r="Q21" s="16" t="str">
        <f aca="false">IF(Q20&lt;&gt;".",IF($G$21=1,MID(_xlfn.BASE(ABS(_xlfn.DECIMAL($H20&amp;$I20&amp;$J20&amp;$L20&amp;$M20&amp;$N20&amp;$O20&amp;$Q20&amp;$R20&amp;$S20&amp;$T20&amp;$V20&amp;$W20&amp;$X20&amp;$Y20,2)-2^16),2,16),ABS(Q$3-16),1),""),".")</f>
        <v/>
      </c>
      <c r="R21" s="16" t="str">
        <f aca="false">IF(R20&lt;&gt;".",IF($G$21=1,MID(_xlfn.BASE(ABS(_xlfn.DECIMAL($H20&amp;$I20&amp;$J20&amp;$L20&amp;$M20&amp;$N20&amp;$O20&amp;$Q20&amp;$R20&amp;$S20&amp;$T20&amp;$V20&amp;$W20&amp;$X20&amp;$Y20,2)-2^16),2,16),ABS(R$3-16),1),""),".")</f>
        <v/>
      </c>
      <c r="S21" s="16" t="str">
        <f aca="false">IF(S20&lt;&gt;".",IF($G$21=1,MID(_xlfn.BASE(ABS(_xlfn.DECIMAL($H20&amp;$I20&amp;$J20&amp;$L20&amp;$M20&amp;$N20&amp;$O20&amp;$Q20&amp;$R20&amp;$S20&amp;$T20&amp;$V20&amp;$W20&amp;$X20&amp;$Y20,2)-2^16),2,16),ABS(S$3-16),1),""),".")</f>
        <v/>
      </c>
      <c r="T21" s="16" t="str">
        <f aca="false">IF(T20&lt;&gt;".",IF($G$21=1,MID(_xlfn.BASE(ABS(_xlfn.DECIMAL($H20&amp;$I20&amp;$J20&amp;$L20&amp;$M20&amp;$N20&amp;$O20&amp;$Q20&amp;$R20&amp;$S20&amp;$T20&amp;$V20&amp;$W20&amp;$X20&amp;$Y20,2)-2^16),2,16),ABS(T$3-16),1),""),".")</f>
        <v/>
      </c>
      <c r="U21" s="16" t="str">
        <f aca="false">IF(U20&lt;&gt;".",IF($G$21=1,MID(_xlfn.BASE(ABS(_xlfn.DECIMAL($H20&amp;$I20&amp;$J20&amp;$L20&amp;$M20&amp;$N20&amp;$O20&amp;$Q20&amp;$R20&amp;$S20&amp;$T20&amp;$V20&amp;$W20&amp;$X20&amp;$Y20,2)-2^16),2,16),ABS(U$3-16),1),""),".")</f>
        <v>.</v>
      </c>
      <c r="V21" s="16" t="str">
        <f aca="false">IF(V20&lt;&gt;".",IF($G$21=1,MID(_xlfn.BASE(ABS(_xlfn.DECIMAL($H20&amp;$I20&amp;$J20&amp;$L20&amp;$M20&amp;$N20&amp;$O20&amp;$Q20&amp;$R20&amp;$S20&amp;$T20&amp;$V20&amp;$W20&amp;$X20&amp;$Y20,2)-2^16),2,16),ABS(V$3-16),1),""),".")</f>
        <v/>
      </c>
      <c r="W21" s="16" t="str">
        <f aca="false">IF(W20&lt;&gt;".",IF($G$21=1,MID(_xlfn.BASE(ABS(_xlfn.DECIMAL($H20&amp;$I20&amp;$J20&amp;$L20&amp;$M20&amp;$N20&amp;$O20&amp;$Q20&amp;$R20&amp;$S20&amp;$T20&amp;$V20&amp;$W20&amp;$X20&amp;$Y20,2)-2^16),2,16),ABS(W$3-16),1),""),".")</f>
        <v/>
      </c>
      <c r="X21" s="16" t="str">
        <f aca="false">IF(X20&lt;&gt;".",IF($G$21=1,MID(_xlfn.BASE(ABS(_xlfn.DECIMAL($H20&amp;$I20&amp;$J20&amp;$L20&amp;$M20&amp;$N20&amp;$O20&amp;$Q20&amp;$R20&amp;$S20&amp;$T20&amp;$V20&amp;$W20&amp;$X20&amp;$Y20,2)-2^16),2,16),ABS(X$3-16),1),""),".")</f>
        <v/>
      </c>
      <c r="Y21" s="16" t="str">
        <f aca="false"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customFormat="false" ht="13.8" hidden="false" customHeight="false" outlineLevel="0" collapsed="false">
      <c r="G22" s="1" t="s">
        <v>52</v>
      </c>
      <c r="H22" s="27" t="n">
        <f aca="false">G17</f>
        <v>0</v>
      </c>
      <c r="J22" s="1" t="s">
        <v>53</v>
      </c>
      <c r="K22" s="27" t="n">
        <f aca="false">MOD(SUM(V20:Y20)+SUM(Q20:T20)+1,2)</f>
        <v>1</v>
      </c>
      <c r="M22" s="1" t="s">
        <v>54</v>
      </c>
      <c r="N22" s="27" t="n">
        <f aca="false">U17</f>
        <v>0</v>
      </c>
      <c r="P22" s="1" t="s">
        <v>55</v>
      </c>
      <c r="Q22" s="27" t="n">
        <f aca="false">IF(AA20=0,1,0)</f>
        <v>0</v>
      </c>
      <c r="S22" s="1" t="s">
        <v>56</v>
      </c>
      <c r="T22" s="27" t="n">
        <f aca="false">G20</f>
        <v>0</v>
      </c>
      <c r="V22" s="1" t="s">
        <v>57</v>
      </c>
      <c r="W22" s="27" t="n">
        <f aca="false">MOD(H17+G17,2)</f>
        <v>0</v>
      </c>
    </row>
    <row r="25" customFormat="false" ht="13.8" hidden="false" customHeight="false" outlineLevel="0" collapsed="false">
      <c r="E25" s="1" t="s">
        <v>43</v>
      </c>
      <c r="G25" s="22" t="n">
        <f aca="false">IF(G26&lt;&gt;".",IF(G26+G27&lt;&gt;0,IF(G26+G27+H25=3,1,MOD(G26+G27+H25-1,2)),0),H25)</f>
        <v>0</v>
      </c>
      <c r="H25" s="22" t="n">
        <f aca="false">IF(H26&lt;&gt;".",IF(H26+H27&lt;&gt;0,IF(H26+H27+I25=3,1,MOD(H26+H27+I25-1,2)),0),I25)</f>
        <v>1</v>
      </c>
      <c r="I25" s="22" t="n">
        <f aca="false">IF(I26&lt;&gt;".",IF(I26+I27&lt;&gt;0,IF(I26+I27+J25=3,1,MOD(I26+I27+J25-1,2)),0),J25)</f>
        <v>1</v>
      </c>
      <c r="J25" s="22" t="n">
        <f aca="false">IF(J26&lt;&gt;".",IF(J26+J27&lt;&gt;0,IF(J26+J27+K25=3,1,MOD(J26+J27+K25-1,2)),0),K25)</f>
        <v>1</v>
      </c>
      <c r="K25" s="23" t="n">
        <f aca="false">IF(K26&lt;&gt;".",IF(K26+K27&lt;&gt;0,IF(K26+K27+L25=3,1,MOD(K26+K27+L25-1,2)),0),L25)</f>
        <v>0</v>
      </c>
      <c r="L25" s="22" t="n">
        <f aca="false">IF(L26&lt;&gt;".",IF(L26+L27&lt;&gt;0,IF(L26+L27+M25=3,1,MOD(L26+L27+M25-1,2)),0),M25)</f>
        <v>0</v>
      </c>
      <c r="M25" s="22" t="n">
        <f aca="false">IF(M26&lt;&gt;".",IF(M26+M27&lt;&gt;0,IF(M26+M27+N25=3,1,MOD(M26+M27+N25-1,2)),0),N25)</f>
        <v>1</v>
      </c>
      <c r="N25" s="22" t="n">
        <f aca="false">IF(N26&lt;&gt;".",IF(N26+N27&lt;&gt;0,IF(N26+N27+O25=3,1,MOD(N26+N27+O25-1,2)),0),O25)</f>
        <v>1</v>
      </c>
      <c r="O25" s="22" t="n">
        <f aca="false">IF(O26&lt;&gt;".",IF(O26+O27&lt;&gt;0,IF(O26+O27+P25=3,1,MOD(O26+O27+P25-1,2)),0),P25)</f>
        <v>1</v>
      </c>
      <c r="P25" s="23" t="n">
        <f aca="false">IF(P26&lt;&gt;".",IF(P26+P27&lt;&gt;0,IF(P26+P27+Q25=3,1,MOD(P26+P27+Q25-1,2)),0),Q25)</f>
        <v>1</v>
      </c>
      <c r="Q25" s="22" t="n">
        <f aca="false">IF(Q26&lt;&gt;".",IF(Q26+Q27&lt;&gt;0,IF(Q26+Q27+R25=3,1,MOD(Q26+Q27+R25-1,2)),0),R25)</f>
        <v>1</v>
      </c>
      <c r="R25" s="22" t="n">
        <f aca="false">IF(R26&lt;&gt;".",IF(R26+R27&lt;&gt;0,IF(R26+R27+S25=3,1,MOD(R26+R27+S25-1,2)),0),S25)</f>
        <v>1</v>
      </c>
      <c r="S25" s="22" t="n">
        <f aca="false">IF(S26&lt;&gt;".",IF(S26+S27&lt;&gt;0,IF(S26+S27+T25=3,1,MOD(S26+S27+T25-1,2)),0),T25)</f>
        <v>1</v>
      </c>
      <c r="T25" s="22" t="n">
        <f aca="false">IF(T26&lt;&gt;".",IF(T26+T27&lt;&gt;0,IF(T26+T27+U25=3,1,MOD(T26+T27+U25-1,2)),0),U25)</f>
        <v>1</v>
      </c>
      <c r="U25" s="23" t="n">
        <f aca="false">IF(U26&lt;&gt;".",IF(U26+U27&lt;&gt;0,IF(U26+U27+V25=3,1,MOD(U26+U27+V25-1,2)),0),V25)</f>
        <v>1</v>
      </c>
      <c r="V25" s="22" t="n">
        <f aca="false">IF(V26&lt;&gt;".",IF(V26+V27&lt;&gt;0,IF(V26+V27+W25=3,1,MOD(V26+V27+W25-1,2)),0),W25)</f>
        <v>1</v>
      </c>
      <c r="W25" s="22" t="n">
        <f aca="false">IF(W26&lt;&gt;".",IF(W26+W27&lt;&gt;0,IF(W26+W27+X25=3,1,MOD(W26+W27+X25-1,2)),0),X25)</f>
        <v>0</v>
      </c>
      <c r="X25" s="22" t="n">
        <f aca="false">IF(X26&lt;&gt;".",IF(X26+X27&lt;&gt;0,IF(X26+X27+Y25=3,1,MOD(X26+X27+Y25-1,2)),0),Y25)</f>
        <v>0</v>
      </c>
      <c r="Y25" s="22" t="n">
        <f aca="false">IF(Y26&lt;&gt;".",IF(Y26+Y27&lt;&gt;0,IF(Y26+Y27+Z25=3,1,MOD(Y26+Y27+Z25-1,2)),0),Z25)</f>
        <v>0</v>
      </c>
    </row>
    <row r="26" customFormat="false" ht="16.4" hidden="false" customHeight="false" outlineLevel="0" collapsed="false">
      <c r="E26" s="1" t="s">
        <v>47</v>
      </c>
      <c r="G26" s="16" t="str">
        <f aca="false">G5</f>
        <v>0</v>
      </c>
      <c r="H26" s="16" t="str">
        <f aca="false">H5</f>
        <v>0</v>
      </c>
      <c r="I26" s="16" t="str">
        <f aca="false">I5</f>
        <v>1</v>
      </c>
      <c r="J26" s="16" t="str">
        <f aca="false">J5</f>
        <v>1</v>
      </c>
      <c r="K26" s="16" t="str">
        <f aca="false">K5</f>
        <v>.</v>
      </c>
      <c r="L26" s="16" t="str">
        <f aca="false">L5</f>
        <v>0</v>
      </c>
      <c r="M26" s="16" t="str">
        <f aca="false">M5</f>
        <v>1</v>
      </c>
      <c r="N26" s="16" t="str">
        <f aca="false">N5</f>
        <v>1</v>
      </c>
      <c r="O26" s="16" t="str">
        <f aca="false">O5</f>
        <v>1</v>
      </c>
      <c r="P26" s="16" t="str">
        <f aca="false">P5</f>
        <v>.</v>
      </c>
      <c r="Q26" s="16" t="str">
        <f aca="false">Q5</f>
        <v>0</v>
      </c>
      <c r="R26" s="16" t="str">
        <f aca="false">R5</f>
        <v>1</v>
      </c>
      <c r="S26" s="16" t="str">
        <f aca="false">S5</f>
        <v>1</v>
      </c>
      <c r="T26" s="16" t="str">
        <f aca="false">T5</f>
        <v>1</v>
      </c>
      <c r="U26" s="16" t="str">
        <f aca="false">U5</f>
        <v>.</v>
      </c>
      <c r="V26" s="16" t="str">
        <f aca="false">V5</f>
        <v>1</v>
      </c>
      <c r="W26" s="16" t="str">
        <f aca="false">W5</f>
        <v>0</v>
      </c>
      <c r="X26" s="16" t="str">
        <f aca="false">X5</f>
        <v>0</v>
      </c>
      <c r="Y26" s="16" t="str">
        <f aca="false">Y5</f>
        <v>0</v>
      </c>
      <c r="AC26" s="1" t="s">
        <v>48</v>
      </c>
      <c r="AD26" s="1" t="n">
        <f aca="false">C5</f>
        <v>14200</v>
      </c>
    </row>
    <row r="27" customFormat="false" ht="16.4" hidden="false" customHeight="false" outlineLevel="0" collapsed="false">
      <c r="D27" s="15" t="s">
        <v>46</v>
      </c>
      <c r="E27" s="1" t="s">
        <v>58</v>
      </c>
      <c r="G27" s="20" t="str">
        <f aca="false">G6</f>
        <v>0</v>
      </c>
      <c r="H27" s="20" t="str">
        <f aca="false">H6</f>
        <v>1</v>
      </c>
      <c r="I27" s="20" t="str">
        <f aca="false">I6</f>
        <v>0</v>
      </c>
      <c r="J27" s="20" t="str">
        <f aca="false">J6</f>
        <v>1</v>
      </c>
      <c r="K27" s="20" t="str">
        <f aca="false">K6</f>
        <v>.</v>
      </c>
      <c r="L27" s="20" t="str">
        <f aca="false">L6</f>
        <v>0</v>
      </c>
      <c r="M27" s="20" t="str">
        <f aca="false">M6</f>
        <v>0</v>
      </c>
      <c r="N27" s="20" t="str">
        <f aca="false">N6</f>
        <v>0</v>
      </c>
      <c r="O27" s="20" t="str">
        <f aca="false">O6</f>
        <v>0</v>
      </c>
      <c r="P27" s="20" t="str">
        <f aca="false">P6</f>
        <v>.</v>
      </c>
      <c r="Q27" s="20" t="str">
        <f aca="false">Q6</f>
        <v>1</v>
      </c>
      <c r="R27" s="20" t="str">
        <f aca="false">R6</f>
        <v>1</v>
      </c>
      <c r="S27" s="20" t="str">
        <f aca="false">S6</f>
        <v>1</v>
      </c>
      <c r="T27" s="20" t="str">
        <f aca="false">T6</f>
        <v>0</v>
      </c>
      <c r="U27" s="20" t="str">
        <f aca="false">U6</f>
        <v>.</v>
      </c>
      <c r="V27" s="20" t="str">
        <f aca="false">V6</f>
        <v>1</v>
      </c>
      <c r="W27" s="20" t="str">
        <f aca="false">W6</f>
        <v>1</v>
      </c>
      <c r="X27" s="20" t="str">
        <f aca="false">X6</f>
        <v>1</v>
      </c>
      <c r="Y27" s="20" t="str">
        <f aca="false">Y6</f>
        <v>0</v>
      </c>
      <c r="AB27" s="15" t="s">
        <v>46</v>
      </c>
      <c r="AC27" s="25" t="s">
        <v>59</v>
      </c>
      <c r="AD27" s="25" t="n">
        <f aca="false">C6</f>
        <v>20718</v>
      </c>
      <c r="AG27" s="1" t="str">
        <f aca="false">IF(W30=0,IF(AND(AA28=AD28,H30=0),$AG$2,$AG$4),IF(G28=0,$AG$5,$AG$3))</f>
        <v>При сложении положительных чисел получен отрицательный результат ПЕРЕПОЛНЕНИЕ!</v>
      </c>
    </row>
    <row r="28" customFormat="false" ht="16.4" hidden="false" customHeight="false" outlineLevel="0" collapsed="false">
      <c r="G28" s="16" t="n">
        <f aca="false">IF(G26&lt;&gt;".",MOD(H25+G26+G27,2),".")</f>
        <v>1</v>
      </c>
      <c r="H28" s="16" t="n">
        <f aca="false">IF(H26&lt;&gt;".",MOD(I25+H26+H27,2),".")</f>
        <v>0</v>
      </c>
      <c r="I28" s="16" t="n">
        <f aca="false">IF(I26&lt;&gt;".",MOD(J25+I26+I27,2),".")</f>
        <v>0</v>
      </c>
      <c r="J28" s="16" t="n">
        <f aca="false">IF(J26&lt;&gt;".",MOD(K25+J26+J27,2),".")</f>
        <v>0</v>
      </c>
      <c r="K28" s="16" t="str">
        <f aca="false">IF(K26&lt;&gt;".",MOD(L25+K26+K27,2),".")</f>
        <v>.</v>
      </c>
      <c r="L28" s="16" t="n">
        <f aca="false">IF(L26&lt;&gt;".",MOD(M25+L26+L27,2),".")</f>
        <v>1</v>
      </c>
      <c r="M28" s="16" t="n">
        <f aca="false">IF(M26&lt;&gt;".",MOD(N25+M26+M27,2),".")</f>
        <v>0</v>
      </c>
      <c r="N28" s="16" t="n">
        <f aca="false">IF(N26&lt;&gt;".",MOD(O25+N26+N27,2),".")</f>
        <v>0</v>
      </c>
      <c r="O28" s="16" t="n">
        <f aca="false">IF(O26&lt;&gt;".",MOD(P25+O26+O27,2),".")</f>
        <v>0</v>
      </c>
      <c r="P28" s="16" t="str">
        <f aca="false">IF(P26&lt;&gt;".",MOD(Q25+P26+P27,2),".")</f>
        <v>.</v>
      </c>
      <c r="Q28" s="16" t="n">
        <f aca="false">IF(Q26&lt;&gt;".",MOD(R25+Q26+Q27,2),".")</f>
        <v>0</v>
      </c>
      <c r="R28" s="16" t="n">
        <f aca="false">IF(R26&lt;&gt;".",MOD(S25+R26+R27,2),".")</f>
        <v>1</v>
      </c>
      <c r="S28" s="16" t="n">
        <f aca="false">IF(S26&lt;&gt;".",MOD(T25+S26+S27,2),".")</f>
        <v>1</v>
      </c>
      <c r="T28" s="16" t="n">
        <f aca="false">IF(T26&lt;&gt;".",MOD(U25+T26+T27,2),".")</f>
        <v>0</v>
      </c>
      <c r="U28" s="16" t="str">
        <f aca="false">IF(U26&lt;&gt;".",MOD(V25+U26+U27,2),".")</f>
        <v>.</v>
      </c>
      <c r="V28" s="16" t="n">
        <f aca="false">IF(V26&lt;&gt;".",MOD(W25+V26+V27,2),".")</f>
        <v>0</v>
      </c>
      <c r="W28" s="16" t="n">
        <f aca="false">IF(W26&lt;&gt;".",MOD(X25+W26+W27,2),".")</f>
        <v>1</v>
      </c>
      <c r="X28" s="16" t="n">
        <f aca="false">IF(X26&lt;&gt;".",MOD(Y25+X26+X27,2),".")</f>
        <v>1</v>
      </c>
      <c r="Y28" s="16" t="n">
        <f aca="false">IF(Y26&lt;&gt;".",MOD(Z25+Y26+Y27,2),".")</f>
        <v>0</v>
      </c>
      <c r="Z28" s="26" t="s">
        <v>49</v>
      </c>
      <c r="AA28" s="15" t="n">
        <f aca="false"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-30618</v>
      </c>
      <c r="AB28" s="26" t="s">
        <v>50</v>
      </c>
      <c r="AD28" s="1" t="n">
        <f aca="false">AD26+AD27</f>
        <v>34918</v>
      </c>
      <c r="AE28" s="26" t="s">
        <v>50</v>
      </c>
    </row>
    <row r="29" customFormat="false" ht="13.8" hidden="false" customHeight="false" outlineLevel="0" collapsed="false">
      <c r="E29" s="1" t="s">
        <v>51</v>
      </c>
      <c r="G29" s="16" t="n">
        <f aca="false">IF(G28=0,"",1)</f>
        <v>1</v>
      </c>
      <c r="H29" s="16" t="str">
        <f aca="false">IF(H28&lt;&gt;".",IF($G$29=1,MID(_xlfn.BASE(ABS(_xlfn.DECIMAL($H28&amp;$I28&amp;$J28&amp;$L28&amp;$M28&amp;$N28&amp;$O28&amp;$Q28&amp;$R28&amp;$S28&amp;$T28&amp;$V28&amp;$W28&amp;$X28&amp;$Y28,2)-2^16),2,16),ABS(H$3-16),1),""),".")</f>
        <v>1</v>
      </c>
      <c r="I29" s="16" t="str">
        <f aca="false">IF(I28&lt;&gt;".",IF($G$29=1,MID(_xlfn.BASE(ABS(_xlfn.DECIMAL($H28&amp;$I28&amp;$J28&amp;$L28&amp;$M28&amp;$N28&amp;$O28&amp;$Q28&amp;$R28&amp;$S28&amp;$T28&amp;$V28&amp;$W28&amp;$X28&amp;$Y28,2)-2^16),2,16),ABS(I$3-16),1),""),".")</f>
        <v>1</v>
      </c>
      <c r="J29" s="16" t="str">
        <f aca="false">IF(J28&lt;&gt;".",IF($G$29=1,MID(_xlfn.BASE(ABS(_xlfn.DECIMAL($H28&amp;$I28&amp;$J28&amp;$L28&amp;$M28&amp;$N28&amp;$O28&amp;$Q28&amp;$R28&amp;$S28&amp;$T28&amp;$V28&amp;$W28&amp;$X28&amp;$Y28,2)-2^16),2,16),ABS(J$3-16),1),""),".")</f>
        <v>1</v>
      </c>
      <c r="K29" s="16" t="str">
        <f aca="false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16" t="str">
        <f aca="false">IF(L28&lt;&gt;".",IF($G$29=1,MID(_xlfn.BASE(ABS(_xlfn.DECIMAL($H28&amp;$I28&amp;$J28&amp;$L28&amp;$M28&amp;$N28&amp;$O28&amp;$Q28&amp;$R28&amp;$S28&amp;$T28&amp;$V28&amp;$W28&amp;$X28&amp;$Y28,2)-2^16),2,16),ABS(L$3-16),1),""),".")</f>
        <v>0</v>
      </c>
      <c r="M29" s="16" t="str">
        <f aca="false">IF(M28&lt;&gt;".",IF($G$29=1,MID(_xlfn.BASE(ABS(_xlfn.DECIMAL($H28&amp;$I28&amp;$J28&amp;$L28&amp;$M28&amp;$N28&amp;$O28&amp;$Q28&amp;$R28&amp;$S28&amp;$T28&amp;$V28&amp;$W28&amp;$X28&amp;$Y28,2)-2^16),2,16),ABS(M$3-16),1),""),".")</f>
        <v>1</v>
      </c>
      <c r="N29" s="16" t="str">
        <f aca="false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16" t="str">
        <f aca="false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16" t="str">
        <f aca="false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16" t="str">
        <f aca="false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16" t="str">
        <f aca="false">IF(R28&lt;&gt;".",IF($G$29=1,MID(_xlfn.BASE(ABS(_xlfn.DECIMAL($H28&amp;$I28&amp;$J28&amp;$L28&amp;$M28&amp;$N28&amp;$O28&amp;$Q28&amp;$R28&amp;$S28&amp;$T28&amp;$V28&amp;$W28&amp;$X28&amp;$Y28,2)-2^16),2,16),ABS(R$3-16),1),""),".")</f>
        <v>0</v>
      </c>
      <c r="S29" s="16" t="str">
        <f aca="false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16" t="str">
        <f aca="false">IF(T28&lt;&gt;".",IF($G$29=1,MID(_xlfn.BASE(ABS(_xlfn.DECIMAL($H28&amp;$I28&amp;$J28&amp;$L28&amp;$M28&amp;$N28&amp;$O28&amp;$Q28&amp;$R28&amp;$S28&amp;$T28&amp;$V28&amp;$W28&amp;$X28&amp;$Y28,2)-2^16),2,16),ABS(T$3-16),1),""),".")</f>
        <v>1</v>
      </c>
      <c r="U29" s="16" t="str">
        <f aca="false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16" t="str">
        <f aca="false">IF(V28&lt;&gt;".",IF($G$29=1,MID(_xlfn.BASE(ABS(_xlfn.DECIMAL($H28&amp;$I28&amp;$J28&amp;$L28&amp;$M28&amp;$N28&amp;$O28&amp;$Q28&amp;$R28&amp;$S28&amp;$T28&amp;$V28&amp;$W28&amp;$X28&amp;$Y28,2)-2^16),2,16),ABS(V$3-16),1),""),".")</f>
        <v>1</v>
      </c>
      <c r="W29" s="16" t="str">
        <f aca="false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16" t="str">
        <f aca="false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16" t="str">
        <f aca="false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7"/>
    </row>
    <row r="30" customFormat="false" ht="13.8" hidden="false" customHeight="false" outlineLevel="0" collapsed="false">
      <c r="G30" s="1" t="s">
        <v>52</v>
      </c>
      <c r="H30" s="27" t="n">
        <f aca="false">G25</f>
        <v>0</v>
      </c>
      <c r="J30" s="1" t="s">
        <v>53</v>
      </c>
      <c r="K30" s="27" t="n">
        <f aca="false">MOD(SUM(V28:Y28)+SUM(Q28:T28)+1,2)</f>
        <v>1</v>
      </c>
      <c r="M30" s="1" t="s">
        <v>54</v>
      </c>
      <c r="N30" s="27" t="n">
        <f aca="false">U25</f>
        <v>1</v>
      </c>
      <c r="P30" s="1" t="s">
        <v>55</v>
      </c>
      <c r="Q30" s="27" t="n">
        <f aca="false">IF(AA28=0,1,0)</f>
        <v>0</v>
      </c>
      <c r="S30" s="1" t="s">
        <v>56</v>
      </c>
      <c r="T30" s="27" t="n">
        <f aca="false">G28</f>
        <v>1</v>
      </c>
      <c r="V30" s="1" t="s">
        <v>57</v>
      </c>
      <c r="W30" s="27" t="n">
        <f aca="false">MOD(H25+G25,2)</f>
        <v>1</v>
      </c>
    </row>
    <row r="33" customFormat="false" ht="13.8" hidden="false" customHeight="false" outlineLevel="0" collapsed="false">
      <c r="E33" s="1" t="s">
        <v>43</v>
      </c>
      <c r="G33" s="22" t="n">
        <f aca="false">IF(G34&lt;&gt;".",IF(G34+G35&lt;&gt;0,IF(G34+G35+H33=3,1,MOD(G34+G35+H33-1,2)),0),H33)</f>
        <v>1</v>
      </c>
      <c r="H33" s="22" t="n">
        <f aca="false">IF(H34&lt;&gt;".",IF(H34+H35&lt;&gt;0,IF(H34+H35+I33=3,1,MOD(H34+H35+I33-1,2)),0),I33)</f>
        <v>1</v>
      </c>
      <c r="I33" s="22" t="n">
        <f aca="false">IF(I34&lt;&gt;".",IF(I34+I35&lt;&gt;0,IF(I34+I35+J33=3,1,MOD(I34+I35+J33-1,2)),0),J33)</f>
        <v>1</v>
      </c>
      <c r="J33" s="22" t="n">
        <f aca="false">IF(J34&lt;&gt;".",IF(J34+J35&lt;&gt;0,IF(J34+J35+K33=3,1,MOD(J34+J35+K33-1,2)),0),K33)</f>
        <v>0</v>
      </c>
      <c r="K33" s="23" t="n">
        <f aca="false">IF(K34&lt;&gt;".",IF(K34+K35&lt;&gt;0,IF(K34+K35+L33=3,1,MOD(K34+K35+L33-1,2)),0),L33)</f>
        <v>0</v>
      </c>
      <c r="L33" s="22" t="n">
        <f aca="false">IF(L34&lt;&gt;".",IF(L34+L35&lt;&gt;0,IF(L34+L35+M33=3,1,MOD(L34+L35+M33-1,2)),0),M33)</f>
        <v>0</v>
      </c>
      <c r="M33" s="22" t="n">
        <f aca="false">IF(M34&lt;&gt;".",IF(M34+M35&lt;&gt;0,IF(M34+M35+N33=3,1,MOD(M34+M35+N33-1,2)),0),N33)</f>
        <v>1</v>
      </c>
      <c r="N33" s="22" t="n">
        <f aca="false">IF(N34&lt;&gt;".",IF(N34+N35&lt;&gt;0,IF(N34+N35+O33=3,1,MOD(N34+N35+O33-1,2)),0),O33)</f>
        <v>1</v>
      </c>
      <c r="O33" s="22" t="n">
        <f aca="false">IF(O34&lt;&gt;".",IF(O34+O35&lt;&gt;0,IF(O34+O35+P33=3,1,MOD(O34+O35+P33-1,2)),0),P33)</f>
        <v>1</v>
      </c>
      <c r="P33" s="23" t="n">
        <f aca="false">IF(P34&lt;&gt;".",IF(P34+P35&lt;&gt;0,IF(P34+P35+Q33=3,1,MOD(P34+P35+Q33-1,2)),0),Q33)</f>
        <v>1</v>
      </c>
      <c r="Q33" s="22" t="n">
        <f aca="false">IF(Q34&lt;&gt;".",IF(Q34+Q35&lt;&gt;0,IF(Q34+Q35+R33=3,1,MOD(Q34+Q35+R33-1,2)),0),R33)</f>
        <v>1</v>
      </c>
      <c r="R33" s="22" t="n">
        <f aca="false">IF(R34&lt;&gt;".",IF(R34+R35&lt;&gt;0,IF(R34+R35+S33=3,1,MOD(R34+R35+S33-1,2)),0),S33)</f>
        <v>1</v>
      </c>
      <c r="S33" s="22" t="n">
        <f aca="false">IF(S34&lt;&gt;".",IF(S34+S35&lt;&gt;0,IF(S34+S35+T33=3,1,MOD(S34+S35+T33-1,2)),0),T33)</f>
        <v>1</v>
      </c>
      <c r="T33" s="22" t="n">
        <f aca="false">IF(T34&lt;&gt;".",IF(T34+T35&lt;&gt;0,IF(T34+T35+U33=3,1,MOD(T34+T35+U33-1,2)),0),U33)</f>
        <v>1</v>
      </c>
      <c r="U33" s="23" t="n">
        <f aca="false">IF(U34&lt;&gt;".",IF(U34+U35&lt;&gt;0,IF(U34+U35+V33=3,1,MOD(U34+U35+V33-1,2)),0),V33)</f>
        <v>1</v>
      </c>
      <c r="V33" s="22" t="n">
        <f aca="false">IF(V34&lt;&gt;".",IF(V34+V35&lt;&gt;0,IF(V34+V35+W33=3,1,MOD(V34+V35+W33-1,2)),0),W33)</f>
        <v>1</v>
      </c>
      <c r="W33" s="22" t="n">
        <f aca="false">IF(W34&lt;&gt;".",IF(W34+W35&lt;&gt;0,IF(W34+W35+X33=3,1,MOD(W34+W35+X33-1,2)),0),X33)</f>
        <v>0</v>
      </c>
      <c r="X33" s="22" t="n">
        <f aca="false">IF(X34&lt;&gt;".",IF(X34+X35&lt;&gt;0,IF(X34+X35+Y33=3,1,MOD(X34+X35+Y33-1,2)),0),Y33)</f>
        <v>0</v>
      </c>
      <c r="Y33" s="22" t="n">
        <f aca="false">IF(Y34&lt;&gt;".",IF(Y34+Y35&lt;&gt;0,IF(Y34+Y35+Z33=3,1,MOD(Y34+Y35+Z33-1,2)),0),Z33)</f>
        <v>0</v>
      </c>
    </row>
    <row r="34" customFormat="false" ht="16.4" hidden="false" customHeight="false" outlineLevel="0" collapsed="false">
      <c r="E34" s="1" t="s">
        <v>47</v>
      </c>
      <c r="G34" s="16" t="str">
        <f aca="false">G5</f>
        <v>0</v>
      </c>
      <c r="H34" s="16" t="str">
        <f aca="false">H5</f>
        <v>0</v>
      </c>
      <c r="I34" s="16" t="str">
        <f aca="false">I5</f>
        <v>1</v>
      </c>
      <c r="J34" s="16" t="str">
        <f aca="false">J5</f>
        <v>1</v>
      </c>
      <c r="K34" s="16" t="str">
        <f aca="false">K5</f>
        <v>.</v>
      </c>
      <c r="L34" s="16" t="str">
        <f aca="false">L5</f>
        <v>0</v>
      </c>
      <c r="M34" s="16" t="str">
        <f aca="false">M5</f>
        <v>1</v>
      </c>
      <c r="N34" s="16" t="str">
        <f aca="false">N5</f>
        <v>1</v>
      </c>
      <c r="O34" s="16" t="str">
        <f aca="false">O5</f>
        <v>1</v>
      </c>
      <c r="P34" s="16" t="str">
        <f aca="false">P5</f>
        <v>.</v>
      </c>
      <c r="Q34" s="16" t="str">
        <f aca="false">Q5</f>
        <v>0</v>
      </c>
      <c r="R34" s="16" t="str">
        <f aca="false">R5</f>
        <v>1</v>
      </c>
      <c r="S34" s="16" t="str">
        <f aca="false">S5</f>
        <v>1</v>
      </c>
      <c r="T34" s="16" t="str">
        <f aca="false">T5</f>
        <v>1</v>
      </c>
      <c r="U34" s="16" t="str">
        <f aca="false">U5</f>
        <v>.</v>
      </c>
      <c r="V34" s="16" t="str">
        <f aca="false">V5</f>
        <v>1</v>
      </c>
      <c r="W34" s="16" t="str">
        <f aca="false">W5</f>
        <v>0</v>
      </c>
      <c r="X34" s="16" t="str">
        <f aca="false">X5</f>
        <v>0</v>
      </c>
      <c r="Y34" s="16" t="str">
        <f aca="false">Y5</f>
        <v>0</v>
      </c>
      <c r="AC34" s="1" t="s">
        <v>48</v>
      </c>
      <c r="AD34" s="1" t="n">
        <f aca="false">C5</f>
        <v>14200</v>
      </c>
    </row>
    <row r="35" customFormat="false" ht="16.4" hidden="false" customHeight="false" outlineLevel="0" collapsed="false">
      <c r="D35" s="15" t="s">
        <v>46</v>
      </c>
      <c r="E35" s="1" t="s">
        <v>60</v>
      </c>
      <c r="G35" s="20" t="str">
        <f aca="false">G10</f>
        <v>1</v>
      </c>
      <c r="H35" s="20" t="str">
        <f aca="false">H10</f>
        <v>1</v>
      </c>
      <c r="I35" s="20" t="str">
        <f aca="false">I10</f>
        <v>1</v>
      </c>
      <c r="J35" s="20" t="str">
        <f aca="false">J10</f>
        <v>0</v>
      </c>
      <c r="K35" s="20" t="str">
        <f aca="false">K10</f>
        <v>.</v>
      </c>
      <c r="L35" s="20" t="str">
        <f aca="false">L10</f>
        <v>0</v>
      </c>
      <c r="M35" s="20" t="str">
        <f aca="false">M10</f>
        <v>1</v>
      </c>
      <c r="N35" s="20" t="str">
        <f aca="false">N10</f>
        <v>1</v>
      </c>
      <c r="O35" s="20" t="str">
        <f aca="false">O10</f>
        <v>0</v>
      </c>
      <c r="P35" s="20" t="str">
        <f aca="false">P10</f>
        <v>.</v>
      </c>
      <c r="Q35" s="20" t="str">
        <f aca="false">Q10</f>
        <v>1</v>
      </c>
      <c r="R35" s="20" t="str">
        <f aca="false">R10</f>
        <v>0</v>
      </c>
      <c r="S35" s="20" t="str">
        <f aca="false">S10</f>
        <v>0</v>
      </c>
      <c r="T35" s="20" t="str">
        <f aca="false">T10</f>
        <v>0</v>
      </c>
      <c r="U35" s="20" t="str">
        <f aca="false">U10</f>
        <v>.</v>
      </c>
      <c r="V35" s="20" t="str">
        <f aca="false">V10</f>
        <v>1</v>
      </c>
      <c r="W35" s="20" t="str">
        <f aca="false">W10</f>
        <v>0</v>
      </c>
      <c r="X35" s="20" t="str">
        <f aca="false">X10</f>
        <v>1</v>
      </c>
      <c r="Y35" s="20" t="str">
        <f aca="false">Y10</f>
        <v>0</v>
      </c>
      <c r="AB35" s="15" t="s">
        <v>46</v>
      </c>
      <c r="AC35" s="25" t="s">
        <v>61</v>
      </c>
      <c r="AD35" s="25" t="n">
        <f aca="false">C10</f>
        <v>-6518</v>
      </c>
      <c r="AG35" s="1" t="str">
        <f aca="false">IF(W38=0,IF(AND(AA36=AD36,H38=0),$AG$2,$AG$4),IF(G36=0,$AG$5,$AG$3))</f>
        <v>Результат корректный. Перенос из старшего разряда не учитывается</v>
      </c>
    </row>
    <row r="36" customFormat="false" ht="16.4" hidden="false" customHeight="false" outlineLevel="0" collapsed="false">
      <c r="G36" s="16" t="n">
        <f aca="false">IF(G34&lt;&gt;".",MOD(H33+G34+G35,2),".")</f>
        <v>0</v>
      </c>
      <c r="H36" s="16" t="n">
        <f aca="false">IF(H34&lt;&gt;".",MOD(I33+H34+H35,2),".")</f>
        <v>0</v>
      </c>
      <c r="I36" s="16" t="n">
        <f aca="false">IF(I34&lt;&gt;".",MOD(J33+I34+I35,2),".")</f>
        <v>0</v>
      </c>
      <c r="J36" s="16" t="n">
        <f aca="false">IF(J34&lt;&gt;".",MOD(K33+J34+J35,2),".")</f>
        <v>1</v>
      </c>
      <c r="K36" s="16" t="str">
        <f aca="false">IF(K34&lt;&gt;".",MOD(L33+K34+K35,2),".")</f>
        <v>.</v>
      </c>
      <c r="L36" s="16" t="n">
        <f aca="false">IF(L34&lt;&gt;".",MOD(M33+L34+L35,2),".")</f>
        <v>1</v>
      </c>
      <c r="M36" s="16" t="n">
        <f aca="false">IF(M34&lt;&gt;".",MOD(N33+M34+M35,2),".")</f>
        <v>1</v>
      </c>
      <c r="N36" s="16" t="n">
        <f aca="false">IF(N34&lt;&gt;".",MOD(O33+N34+N35,2),".")</f>
        <v>1</v>
      </c>
      <c r="O36" s="16" t="n">
        <f aca="false">IF(O34&lt;&gt;".",MOD(P33+O34+O35,2),".")</f>
        <v>0</v>
      </c>
      <c r="P36" s="16" t="str">
        <f aca="false">IF(P34&lt;&gt;".",MOD(Q33+P34+P35,2),".")</f>
        <v>.</v>
      </c>
      <c r="Q36" s="16" t="n">
        <f aca="false">IF(Q34&lt;&gt;".",MOD(R33+Q34+Q35,2),".")</f>
        <v>0</v>
      </c>
      <c r="R36" s="16" t="n">
        <f aca="false">IF(R34&lt;&gt;".",MOD(S33+R34+R35,2),".")</f>
        <v>0</v>
      </c>
      <c r="S36" s="16" t="n">
        <f aca="false">IF(S34&lt;&gt;".",MOD(T33+S34+S35,2),".")</f>
        <v>0</v>
      </c>
      <c r="T36" s="16" t="n">
        <f aca="false">IF(T34&lt;&gt;".",MOD(U33+T34+T35,2),".")</f>
        <v>0</v>
      </c>
      <c r="U36" s="16" t="str">
        <f aca="false">IF(U34&lt;&gt;".",MOD(V33+U34+U35,2),".")</f>
        <v>.</v>
      </c>
      <c r="V36" s="16" t="n">
        <f aca="false">IF(V34&lt;&gt;".",MOD(W33+V34+V35,2),".")</f>
        <v>0</v>
      </c>
      <c r="W36" s="16" t="n">
        <f aca="false">IF(W34&lt;&gt;".",MOD(X33+W34+W35,2),".")</f>
        <v>0</v>
      </c>
      <c r="X36" s="16" t="n">
        <f aca="false">IF(X34&lt;&gt;".",MOD(Y33+X34+X35,2),".")</f>
        <v>1</v>
      </c>
      <c r="Y36" s="16" t="n">
        <f aca="false">IF(Y34&lt;&gt;".",MOD(Z33+Y34+Y35,2),".")</f>
        <v>0</v>
      </c>
      <c r="Z36" s="26" t="s">
        <v>49</v>
      </c>
      <c r="AA36" s="15" t="n">
        <f aca="false"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7682</v>
      </c>
      <c r="AB36" s="26" t="s">
        <v>50</v>
      </c>
      <c r="AD36" s="1" t="n">
        <f aca="false">AD34+AD35</f>
        <v>7682</v>
      </c>
    </row>
    <row r="37" customFormat="false" ht="13.8" hidden="false" customHeight="false" outlineLevel="0" collapsed="false">
      <c r="E37" s="1" t="s">
        <v>51</v>
      </c>
      <c r="G37" s="16" t="str">
        <f aca="false">IF(G36=0,"",1)</f>
        <v/>
      </c>
      <c r="H37" s="16" t="str">
        <f aca="false"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16" t="str">
        <f aca="false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16" t="str">
        <f aca="false">IF(J36&lt;&gt;".",IF($G$36=1,MID(_xlfn.BASE(ABS(_xlfn.DECIMAL($H36&amp;$I36&amp;$J36&amp;$L36&amp;$M36&amp;$N36&amp;$O36&amp;$Q36&amp;$R36&amp;$S36&amp;$T36&amp;$V36&amp;$W36&amp;$X36&amp;$Y36,2)-2^16),2,16),ABS(J$3-16),1),""),".")</f>
        <v/>
      </c>
      <c r="K37" s="16" t="str">
        <f aca="false">IF(K36&lt;&gt;".",IF($G$36=1,MID(_xlfn.BASE(ABS(_xlfn.DECIMAL($H36&amp;$I36&amp;$J36&amp;$L36&amp;$M36&amp;$N36&amp;$O36&amp;$Q36&amp;$R36&amp;$S36&amp;$T36&amp;$V36&amp;$W36&amp;$X36&amp;$Y36,2)-2^16),2,16),ABS(K$3-16),1),""),".")</f>
        <v>.</v>
      </c>
      <c r="L37" s="16" t="str">
        <f aca="false">IF(L36&lt;&gt;".",IF($G$36=1,MID(_xlfn.BASE(ABS(_xlfn.DECIMAL($H36&amp;$I36&amp;$J36&amp;$L36&amp;$M36&amp;$N36&amp;$O36&amp;$Q36&amp;$R36&amp;$S36&amp;$T36&amp;$V36&amp;$W36&amp;$X36&amp;$Y36,2)-2^16),2,16),ABS(L$3-16),1),""),".")</f>
        <v/>
      </c>
      <c r="M37" s="16" t="str">
        <f aca="false">IF(M36&lt;&gt;".",IF($G$36=1,MID(_xlfn.BASE(ABS(_xlfn.DECIMAL($H36&amp;$I36&amp;$J36&amp;$L36&amp;$M36&amp;$N36&amp;$O36&amp;$Q36&amp;$R36&amp;$S36&amp;$T36&amp;$V36&amp;$W36&amp;$X36&amp;$Y36,2)-2^16),2,16),ABS(M$3-16),1),""),".")</f>
        <v/>
      </c>
      <c r="N37" s="16" t="str">
        <f aca="false">IF(N36&lt;&gt;".",IF($G$36=1,MID(_xlfn.BASE(ABS(_xlfn.DECIMAL($H36&amp;$I36&amp;$J36&amp;$L36&amp;$M36&amp;$N36&amp;$O36&amp;$Q36&amp;$R36&amp;$S36&amp;$T36&amp;$V36&amp;$W36&amp;$X36&amp;$Y36,2)-2^16),2,16),ABS(N$3-16),1),""),".")</f>
        <v/>
      </c>
      <c r="O37" s="16" t="str">
        <f aca="false">IF(O36&lt;&gt;".",IF($G$36=1,MID(_xlfn.BASE(ABS(_xlfn.DECIMAL($H36&amp;$I36&amp;$J36&amp;$L36&amp;$M36&amp;$N36&amp;$O36&amp;$Q36&amp;$R36&amp;$S36&amp;$T36&amp;$V36&amp;$W36&amp;$X36&amp;$Y36,2)-2^16),2,16),ABS(O$3-16),1),""),".")</f>
        <v/>
      </c>
      <c r="P37" s="16" t="str">
        <f aca="false">IF(P36&lt;&gt;".",IF($G$36=1,MID(_xlfn.BASE(ABS(_xlfn.DECIMAL($H36&amp;$I36&amp;$J36&amp;$L36&amp;$M36&amp;$N36&amp;$O36&amp;$Q36&amp;$R36&amp;$S36&amp;$T36&amp;$V36&amp;$W36&amp;$X36&amp;$Y36,2)-2^16),2,16),ABS(P$3-16),1),""),".")</f>
        <v>.</v>
      </c>
      <c r="Q37" s="16" t="str">
        <f aca="false">IF(Q36&lt;&gt;".",IF($G$36=1,MID(_xlfn.BASE(ABS(_xlfn.DECIMAL($H36&amp;$I36&amp;$J36&amp;$L36&amp;$M36&amp;$N36&amp;$O36&amp;$Q36&amp;$R36&amp;$S36&amp;$T36&amp;$V36&amp;$W36&amp;$X36&amp;$Y36,2)-2^16),2,16),ABS(Q$3-16),1),""),".")</f>
        <v/>
      </c>
      <c r="R37" s="16" t="str">
        <f aca="false">IF(R36&lt;&gt;".",IF($G$36=1,MID(_xlfn.BASE(ABS(_xlfn.DECIMAL($H36&amp;$I36&amp;$J36&amp;$L36&amp;$M36&amp;$N36&amp;$O36&amp;$Q36&amp;$R36&amp;$S36&amp;$T36&amp;$V36&amp;$W36&amp;$X36&amp;$Y36,2)-2^16),2,16),ABS(R$3-16),1),""),".")</f>
        <v/>
      </c>
      <c r="S37" s="16" t="str">
        <f aca="false">IF(S36&lt;&gt;".",IF($G$36=1,MID(_xlfn.BASE(ABS(_xlfn.DECIMAL($H36&amp;$I36&amp;$J36&amp;$L36&amp;$M36&amp;$N36&amp;$O36&amp;$Q36&amp;$R36&amp;$S36&amp;$T36&amp;$V36&amp;$W36&amp;$X36&amp;$Y36,2)-2^16),2,16),ABS(S$3-16),1),""),".")</f>
        <v/>
      </c>
      <c r="T37" s="16" t="str">
        <f aca="false">IF(T36&lt;&gt;".",IF($G$36=1,MID(_xlfn.BASE(ABS(_xlfn.DECIMAL($H36&amp;$I36&amp;$J36&amp;$L36&amp;$M36&amp;$N36&amp;$O36&amp;$Q36&amp;$R36&amp;$S36&amp;$T36&amp;$V36&amp;$W36&amp;$X36&amp;$Y36,2)-2^16),2,16),ABS(T$3-16),1),""),".")</f>
        <v/>
      </c>
      <c r="U37" s="16" t="str">
        <f aca="false">IF(U36&lt;&gt;".",IF($G$36=1,MID(_xlfn.BASE(ABS(_xlfn.DECIMAL($H36&amp;$I36&amp;$J36&amp;$L36&amp;$M36&amp;$N36&amp;$O36&amp;$Q36&amp;$R36&amp;$S36&amp;$T36&amp;$V36&amp;$W36&amp;$X36&amp;$Y36,2)-2^16),2,16),ABS(U$3-16),1),""),".")</f>
        <v>.</v>
      </c>
      <c r="V37" s="16" t="str">
        <f aca="false">IF(V36&lt;&gt;".",IF($G$36=1,MID(_xlfn.BASE(ABS(_xlfn.DECIMAL($H36&amp;$I36&amp;$J36&amp;$L36&amp;$M36&amp;$N36&amp;$O36&amp;$Q36&amp;$R36&amp;$S36&amp;$T36&amp;$V36&amp;$W36&amp;$X36&amp;$Y36,2)-2^16),2,16),ABS(V$3-16),1),""),".")</f>
        <v/>
      </c>
      <c r="W37" s="16" t="str">
        <f aca="false">IF(W36&lt;&gt;".",IF($G$36=1,MID(_xlfn.BASE(ABS(_xlfn.DECIMAL($H36&amp;$I36&amp;$J36&amp;$L36&amp;$M36&amp;$N36&amp;$O36&amp;$Q36&amp;$R36&amp;$S36&amp;$T36&amp;$V36&amp;$W36&amp;$X36&amp;$Y36,2)-2^16),2,16),ABS(W$3-16),1),""),".")</f>
        <v/>
      </c>
      <c r="X37" s="16" t="str">
        <f aca="false">IF(X36&lt;&gt;".",IF($G$36=1,MID(_xlfn.BASE(ABS(_xlfn.DECIMAL($H36&amp;$I36&amp;$J36&amp;$L36&amp;$M36&amp;$N36&amp;$O36&amp;$Q36&amp;$R36&amp;$S36&amp;$T36&amp;$V36&amp;$W36&amp;$X36&amp;$Y36,2)-2^16),2,16),ABS(X$3-16),1),""),".")</f>
        <v/>
      </c>
      <c r="Y37" s="16" t="str">
        <f aca="false">IF(Y36&lt;&gt;".",IF($G$36=1,MID(_xlfn.BASE(ABS(_xlfn.DECIMAL($H36&amp;$I36&amp;$J36&amp;$L36&amp;$M36&amp;$N36&amp;$O36&amp;$Q36&amp;$R36&amp;$S36&amp;$T36&amp;$V36&amp;$W36&amp;$X36&amp;$Y36,2)-2^16),2,16),ABS(Y$3-16),1),""),".")</f>
        <v/>
      </c>
    </row>
    <row r="38" customFormat="false" ht="13.8" hidden="false" customHeight="false" outlineLevel="0" collapsed="false">
      <c r="G38" s="1" t="s">
        <v>52</v>
      </c>
      <c r="H38" s="27" t="n">
        <f aca="false">G33</f>
        <v>1</v>
      </c>
      <c r="J38" s="1" t="s">
        <v>53</v>
      </c>
      <c r="K38" s="27" t="n">
        <f aca="false">MOD(SUM(V36:Y36)+SUM(Q36:T36)+1,2)</f>
        <v>0</v>
      </c>
      <c r="M38" s="1" t="s">
        <v>54</v>
      </c>
      <c r="N38" s="27" t="n">
        <f aca="false">U33</f>
        <v>1</v>
      </c>
      <c r="P38" s="1" t="s">
        <v>55</v>
      </c>
      <c r="Q38" s="27" t="n">
        <f aca="false">IF(AA36=0,1,0)</f>
        <v>0</v>
      </c>
      <c r="S38" s="1" t="s">
        <v>56</v>
      </c>
      <c r="T38" s="27" t="n">
        <f aca="false">G36</f>
        <v>0</v>
      </c>
      <c r="V38" s="1" t="s">
        <v>57</v>
      </c>
      <c r="W38" s="27" t="n">
        <f aca="false">MOD(H33+G33,2)</f>
        <v>0</v>
      </c>
    </row>
    <row r="41" customFormat="false" ht="13.8" hidden="false" customHeight="false" outlineLevel="0" collapsed="false">
      <c r="E41" s="1" t="s">
        <v>43</v>
      </c>
      <c r="G41" s="22" t="n">
        <f aca="false">IF(G42&lt;&gt;".",IF(G42+G43&lt;&gt;0,IF(G42+G43+H41=3,1,MOD(G42+G43+H41-1,2)),0),H41)</f>
        <v>1</v>
      </c>
      <c r="H41" s="22" t="n">
        <f aca="false">IF(H42&lt;&gt;".",IF(H42+H43&lt;&gt;0,IF(H42+H43+I41=3,1,MOD(H42+H43+I41-1,2)),0),I41)</f>
        <v>1</v>
      </c>
      <c r="I41" s="22" t="n">
        <f aca="false">IF(I42&lt;&gt;".",IF(I42+I43&lt;&gt;0,IF(I42+I43+J41=3,1,MOD(I42+I43+J41-1,2)),0),J41)</f>
        <v>0</v>
      </c>
      <c r="J41" s="22" t="n">
        <f aca="false">IF(J42&lt;&gt;".",IF(J42+J43&lt;&gt;0,IF(J42+J43+K41=3,1,MOD(J42+J43+K41-1,2)),0),K41)</f>
        <v>0</v>
      </c>
      <c r="K41" s="23" t="n">
        <f aca="false">IF(K42&lt;&gt;".",IF(K42+K43&lt;&gt;0,IF(K42+K43+L41=3,1,MOD(K42+K43+L41-1,2)),0),L41)</f>
        <v>0</v>
      </c>
      <c r="L41" s="22" t="n">
        <f aca="false">IF(L42&lt;&gt;".",IF(L42+L43&lt;&gt;0,IF(L42+L43+M41=3,1,MOD(L42+L43+M41-1,2)),0),M41)</f>
        <v>0</v>
      </c>
      <c r="M41" s="22" t="n">
        <f aca="false">IF(M42&lt;&gt;".",IF(M42+M43&lt;&gt;0,IF(M42+M43+N41=3,1,MOD(M42+M43+N41-1,2)),0),N41)</f>
        <v>0</v>
      </c>
      <c r="N41" s="22" t="n">
        <f aca="false">IF(N42&lt;&gt;".",IF(N42+N43&lt;&gt;0,IF(N42+N43+O41=3,1,MOD(N42+N43+O41-1,2)),0),O41)</f>
        <v>0</v>
      </c>
      <c r="O41" s="22" t="n">
        <f aca="false">IF(O42&lt;&gt;".",IF(O42+O43&lt;&gt;0,IF(O42+O43+P41=3,1,MOD(O42+O43+P41-1,2)),0),P41)</f>
        <v>0</v>
      </c>
      <c r="P41" s="23" t="n">
        <f aca="false">IF(P42&lt;&gt;".",IF(P42+P43&lt;&gt;0,IF(P42+P43+Q41=3,1,MOD(P42+P43+Q41-1,2)),0),Q41)</f>
        <v>1</v>
      </c>
      <c r="Q41" s="22" t="n">
        <f aca="false">IF(Q42&lt;&gt;".",IF(Q42+Q43&lt;&gt;0,IF(Q42+Q43+R41=3,1,MOD(Q42+Q43+R41-1,2)),0),R41)</f>
        <v>1</v>
      </c>
      <c r="R41" s="22" t="n">
        <f aca="false">IF(R42&lt;&gt;".",IF(R42+R43&lt;&gt;0,IF(R42+R43+S41=3,1,MOD(R42+R43+S41-1,2)),0),S41)</f>
        <v>0</v>
      </c>
      <c r="S41" s="22" t="n">
        <f aca="false">IF(S42&lt;&gt;".",IF(S42+S43&lt;&gt;0,IF(S42+S43+T41=3,1,MOD(S42+S43+T41-1,2)),0),T41)</f>
        <v>0</v>
      </c>
      <c r="T41" s="22" t="n">
        <f aca="false">IF(T42&lt;&gt;".",IF(T42+T43&lt;&gt;0,IF(T42+T43+U41=3,1,MOD(T42+T43+U41-1,2)),0),U41)</f>
        <v>0</v>
      </c>
      <c r="U41" s="23" t="n">
        <f aca="false">IF(U42&lt;&gt;".",IF(U42+U43&lt;&gt;0,IF(U42+U43+V41=3,1,MOD(U42+U43+V41-1,2)),0),V41)</f>
        <v>1</v>
      </c>
      <c r="V41" s="22" t="n">
        <f aca="false">IF(V42&lt;&gt;".",IF(V42+V43&lt;&gt;0,IF(V42+V43+W41=3,1,MOD(V42+V43+W41-1,2)),0),W41)</f>
        <v>1</v>
      </c>
      <c r="W41" s="22" t="n">
        <f aca="false">IF(W42&lt;&gt;".",IF(W42+W43&lt;&gt;0,IF(W42+W43+X41=3,1,MOD(W42+W43+X41-1,2)),0),X41)</f>
        <v>0</v>
      </c>
      <c r="X41" s="22" t="n">
        <f aca="false">IF(X42&lt;&gt;".",IF(X42+X43&lt;&gt;0,IF(X42+X43+Y41=3,1,MOD(X42+X43+Y41-1,2)),0),Y41)</f>
        <v>0</v>
      </c>
      <c r="Y41" s="22" t="n">
        <f aca="false">IF(Y42&lt;&gt;".",IF(Y42+Y43&lt;&gt;0,IF(Y42+Y43+Z41=3,1,MOD(Y42+Y43+Z41-1,2)),0),Z41)</f>
        <v>0</v>
      </c>
    </row>
    <row r="42" customFormat="false" ht="16.4" hidden="false" customHeight="false" outlineLevel="0" collapsed="false">
      <c r="E42" s="1" t="s">
        <v>60</v>
      </c>
      <c r="G42" s="16" t="str">
        <f aca="false">G10</f>
        <v>1</v>
      </c>
      <c r="H42" s="16" t="str">
        <f aca="false">H10</f>
        <v>1</v>
      </c>
      <c r="I42" s="16" t="str">
        <f aca="false">I10</f>
        <v>1</v>
      </c>
      <c r="J42" s="16" t="str">
        <f aca="false">J10</f>
        <v>0</v>
      </c>
      <c r="K42" s="16" t="str">
        <f aca="false">K10</f>
        <v>.</v>
      </c>
      <c r="L42" s="16" t="str">
        <f aca="false">L10</f>
        <v>0</v>
      </c>
      <c r="M42" s="16" t="str">
        <f aca="false">M10</f>
        <v>1</v>
      </c>
      <c r="N42" s="16" t="str">
        <f aca="false">N10</f>
        <v>1</v>
      </c>
      <c r="O42" s="16" t="str">
        <f aca="false">O10</f>
        <v>0</v>
      </c>
      <c r="P42" s="16" t="str">
        <f aca="false">P10</f>
        <v>.</v>
      </c>
      <c r="Q42" s="16" t="str">
        <f aca="false">Q10</f>
        <v>1</v>
      </c>
      <c r="R42" s="16" t="str">
        <f aca="false">R10</f>
        <v>0</v>
      </c>
      <c r="S42" s="16" t="str">
        <f aca="false">S10</f>
        <v>0</v>
      </c>
      <c r="T42" s="16" t="str">
        <f aca="false">T10</f>
        <v>0</v>
      </c>
      <c r="U42" s="16" t="str">
        <f aca="false">U10</f>
        <v>.</v>
      </c>
      <c r="V42" s="16" t="str">
        <f aca="false">V10</f>
        <v>1</v>
      </c>
      <c r="W42" s="16" t="str">
        <f aca="false">W10</f>
        <v>0</v>
      </c>
      <c r="X42" s="16" t="str">
        <f aca="false">X10</f>
        <v>1</v>
      </c>
      <c r="Y42" s="16" t="str">
        <f aca="false">Y10</f>
        <v>0</v>
      </c>
      <c r="AC42" s="1" t="s">
        <v>61</v>
      </c>
      <c r="AD42" s="1" t="n">
        <f aca="false">C10</f>
        <v>-6518</v>
      </c>
    </row>
    <row r="43" customFormat="false" ht="16.4" hidden="false" customHeight="false" outlineLevel="0" collapsed="false">
      <c r="D43" s="15" t="s">
        <v>46</v>
      </c>
      <c r="E43" s="1" t="s">
        <v>62</v>
      </c>
      <c r="G43" s="20" t="str">
        <f aca="false">G11</f>
        <v>1</v>
      </c>
      <c r="H43" s="20" t="str">
        <f aca="false">H11</f>
        <v>1</v>
      </c>
      <c r="I43" s="20" t="str">
        <f aca="false">I11</f>
        <v>0</v>
      </c>
      <c r="J43" s="20" t="str">
        <f aca="false">J11</f>
        <v>0</v>
      </c>
      <c r="K43" s="20" t="str">
        <f aca="false">K11</f>
        <v>.</v>
      </c>
      <c r="L43" s="20" t="str">
        <f aca="false">L11</f>
        <v>1</v>
      </c>
      <c r="M43" s="20" t="str">
        <f aca="false">M11</f>
        <v>0</v>
      </c>
      <c r="N43" s="20" t="str">
        <f aca="false">N11</f>
        <v>0</v>
      </c>
      <c r="O43" s="20" t="str">
        <f aca="false">O11</f>
        <v>0</v>
      </c>
      <c r="P43" s="20" t="str">
        <f aca="false">P11</f>
        <v>.</v>
      </c>
      <c r="Q43" s="20" t="str">
        <f aca="false">Q11</f>
        <v>1</v>
      </c>
      <c r="R43" s="20" t="str">
        <f aca="false">R11</f>
        <v>0</v>
      </c>
      <c r="S43" s="20" t="str">
        <f aca="false">S11</f>
        <v>0</v>
      </c>
      <c r="T43" s="20" t="str">
        <f aca="false">T11</f>
        <v>0</v>
      </c>
      <c r="U43" s="20" t="str">
        <f aca="false">U11</f>
        <v>.</v>
      </c>
      <c r="V43" s="20" t="str">
        <f aca="false">V11</f>
        <v>1</v>
      </c>
      <c r="W43" s="20" t="str">
        <f aca="false">W11</f>
        <v>0</v>
      </c>
      <c r="X43" s="20" t="str">
        <f aca="false">X11</f>
        <v>0</v>
      </c>
      <c r="Y43" s="20" t="str">
        <f aca="false">Y11</f>
        <v>0</v>
      </c>
      <c r="AB43" s="15" t="s">
        <v>46</v>
      </c>
      <c r="AC43" s="25" t="s">
        <v>63</v>
      </c>
      <c r="AD43" s="25" t="n">
        <f aca="false">C11</f>
        <v>-14200</v>
      </c>
      <c r="AG43" s="1" t="str">
        <f aca="false">IF(W46=0,IF(AND(AA44=AD44,H46=0),$AG$2,$AG$4),IF(G44=0,$AG$5,$AG$3))</f>
        <v>Результат корректный. Перенос из старшего разряда не учитывается</v>
      </c>
    </row>
    <row r="44" customFormat="false" ht="16.4" hidden="false" customHeight="false" outlineLevel="0" collapsed="false">
      <c r="G44" s="16" t="n">
        <f aca="false">IF(G42&lt;&gt;".",MOD(H41+G42+G43,2),".")</f>
        <v>1</v>
      </c>
      <c r="H44" s="16" t="n">
        <f aca="false">IF(H42&lt;&gt;".",MOD(I41+H42+H43,2),".")</f>
        <v>0</v>
      </c>
      <c r="I44" s="16" t="n">
        <f aca="false">IF(I42&lt;&gt;".",MOD(J41+I42+I43,2),".")</f>
        <v>1</v>
      </c>
      <c r="J44" s="16" t="n">
        <f aca="false">IF(J42&lt;&gt;".",MOD(K41+J42+J43,2),".")</f>
        <v>0</v>
      </c>
      <c r="K44" s="16" t="str">
        <f aca="false">IF(K42&lt;&gt;".",MOD(L41+K42+K43,2),".")</f>
        <v>.</v>
      </c>
      <c r="L44" s="16" t="n">
        <f aca="false">IF(L42&lt;&gt;".",MOD(M41+L42+L43,2),".")</f>
        <v>1</v>
      </c>
      <c r="M44" s="16" t="n">
        <f aca="false">IF(M42&lt;&gt;".",MOD(N41+M42+M43,2),".")</f>
        <v>1</v>
      </c>
      <c r="N44" s="16" t="n">
        <f aca="false">IF(N42&lt;&gt;".",MOD(O41+N42+N43,2),".")</f>
        <v>1</v>
      </c>
      <c r="O44" s="16" t="n">
        <f aca="false">IF(O42&lt;&gt;".",MOD(P41+O42+O43,2),".")</f>
        <v>1</v>
      </c>
      <c r="P44" s="16" t="str">
        <f aca="false">IF(P42&lt;&gt;".",MOD(Q41+P42+P43,2),".")</f>
        <v>.</v>
      </c>
      <c r="Q44" s="16" t="n">
        <f aca="false">IF(Q42&lt;&gt;".",MOD(R41+Q42+Q43,2),".")</f>
        <v>0</v>
      </c>
      <c r="R44" s="16" t="n">
        <f aca="false">IF(R42&lt;&gt;".",MOD(S41+R42+R43,2),".")</f>
        <v>0</v>
      </c>
      <c r="S44" s="16" t="n">
        <f aca="false">IF(S42&lt;&gt;".",MOD(T41+S42+S43,2),".")</f>
        <v>0</v>
      </c>
      <c r="T44" s="16" t="n">
        <f aca="false">IF(T42&lt;&gt;".",MOD(U41+T42+T43,2),".")</f>
        <v>1</v>
      </c>
      <c r="U44" s="16" t="str">
        <f aca="false">IF(U42&lt;&gt;".",MOD(V41+U42+U43,2),".")</f>
        <v>.</v>
      </c>
      <c r="V44" s="16" t="n">
        <f aca="false">IF(V42&lt;&gt;".",MOD(W41+V42+V43,2),".")</f>
        <v>0</v>
      </c>
      <c r="W44" s="16" t="n">
        <f aca="false">IF(W42&lt;&gt;".",MOD(X41+W42+W43,2),".")</f>
        <v>0</v>
      </c>
      <c r="X44" s="16" t="n">
        <f aca="false">IF(X42&lt;&gt;".",MOD(Y41+X42+X43,2),".")</f>
        <v>1</v>
      </c>
      <c r="Y44" s="16" t="n">
        <f aca="false">IF(Y42&lt;&gt;".",MOD(Z41+Y42+Y43,2),".")</f>
        <v>0</v>
      </c>
      <c r="Z44" s="26" t="s">
        <v>49</v>
      </c>
      <c r="AA44" s="15" t="n">
        <f aca="false"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-20718</v>
      </c>
      <c r="AB44" s="26" t="s">
        <v>50</v>
      </c>
      <c r="AD44" s="1" t="n">
        <f aca="false">AD42+AD43</f>
        <v>-20718</v>
      </c>
    </row>
    <row r="45" customFormat="false" ht="13.8" hidden="false" customHeight="false" outlineLevel="0" collapsed="false">
      <c r="E45" s="1" t="s">
        <v>51</v>
      </c>
      <c r="G45" s="16" t="n">
        <f aca="false">IF(G44=0,"",1)</f>
        <v>1</v>
      </c>
      <c r="H45" s="16" t="str">
        <f aca="false"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16" t="str">
        <f aca="false">IF(I44&lt;&gt;".",IF($G$44=1,MID(_xlfn.BASE(ABS(_xlfn.DECIMAL($H44&amp;$I44&amp;$J44&amp;$L44&amp;$M44&amp;$N44&amp;$O44&amp;$Q44&amp;$R44&amp;$S44&amp;$T44&amp;$V44&amp;$W44&amp;$X44&amp;$Y44,2)-2^16),2,16),ABS(I$3-16),1),""),".")</f>
        <v>0</v>
      </c>
      <c r="J45" s="16" t="str">
        <f aca="false">IF(J44&lt;&gt;".",IF($G$44=1,MID(_xlfn.BASE(ABS(_xlfn.DECIMAL($H44&amp;$I44&amp;$J44&amp;$L44&amp;$M44&amp;$N44&amp;$O44&amp;$Q44&amp;$R44&amp;$S44&amp;$T44&amp;$V44&amp;$W44&amp;$X44&amp;$Y44,2)-2^16),2,16),ABS(J$3-16),1),""),".")</f>
        <v>1</v>
      </c>
      <c r="K45" s="16" t="str">
        <f aca="false">IF(K44&lt;&gt;".",IF($G$44=1,MID(_xlfn.BASE(ABS(_xlfn.DECIMAL($H44&amp;$I44&amp;$J44&amp;$L44&amp;$M44&amp;$N44&amp;$O44&amp;$Q44&amp;$R44&amp;$S44&amp;$T44&amp;$V44&amp;$W44&amp;$X44&amp;$Y44,2)-2^16),2,16),ABS(K$3-16),1),""),".")</f>
        <v>.</v>
      </c>
      <c r="L45" s="16" t="str">
        <f aca="false">IF(L44&lt;&gt;".",IF($G$44=1,MID(_xlfn.BASE(ABS(_xlfn.DECIMAL($H44&amp;$I44&amp;$J44&amp;$L44&amp;$M44&amp;$N44&amp;$O44&amp;$Q44&amp;$R44&amp;$S44&amp;$T44&amp;$V44&amp;$W44&amp;$X44&amp;$Y44,2)-2^16),2,16),ABS(L$3-16),1),""),".")</f>
        <v>0</v>
      </c>
      <c r="M45" s="16" t="str">
        <f aca="false">IF(M44&lt;&gt;".",IF($G$44=1,MID(_xlfn.BASE(ABS(_xlfn.DECIMAL($H44&amp;$I44&amp;$J44&amp;$L44&amp;$M44&amp;$N44&amp;$O44&amp;$Q44&amp;$R44&amp;$S44&amp;$T44&amp;$V44&amp;$W44&amp;$X44&amp;$Y44,2)-2^16),2,16),ABS(M$3-16),1),""),".")</f>
        <v>0</v>
      </c>
      <c r="N45" s="16" t="str">
        <f aca="false">IF(N44&lt;&gt;".",IF($G$44=1,MID(_xlfn.BASE(ABS(_xlfn.DECIMAL($H44&amp;$I44&amp;$J44&amp;$L44&amp;$M44&amp;$N44&amp;$O44&amp;$Q44&amp;$R44&amp;$S44&amp;$T44&amp;$V44&amp;$W44&amp;$X44&amp;$Y44,2)-2^16),2,16),ABS(N$3-16),1),""),".")</f>
        <v>0</v>
      </c>
      <c r="O45" s="16" t="str">
        <f aca="false">IF(O44&lt;&gt;".",IF($G$44=1,MID(_xlfn.BASE(ABS(_xlfn.DECIMAL($H44&amp;$I44&amp;$J44&amp;$L44&amp;$M44&amp;$N44&amp;$O44&amp;$Q44&amp;$R44&amp;$S44&amp;$T44&amp;$V44&amp;$W44&amp;$X44&amp;$Y44,2)-2^16),2,16),ABS(O$3-16),1),""),".")</f>
        <v>0</v>
      </c>
      <c r="P45" s="16" t="str">
        <f aca="false">IF(P44&lt;&gt;".",IF($G$44=1,MID(_xlfn.BASE(ABS(_xlfn.DECIMAL($H44&amp;$I44&amp;$J44&amp;$L44&amp;$M44&amp;$N44&amp;$O44&amp;$Q44&amp;$R44&amp;$S44&amp;$T44&amp;$V44&amp;$W44&amp;$X44&amp;$Y44,2)-2^16),2,16),ABS(P$3-16),1),""),".")</f>
        <v>.</v>
      </c>
      <c r="Q45" s="16" t="str">
        <f aca="false">IF(Q44&lt;&gt;".",IF($G$44=1,MID(_xlfn.BASE(ABS(_xlfn.DECIMAL($H44&amp;$I44&amp;$J44&amp;$L44&amp;$M44&amp;$N44&amp;$O44&amp;$Q44&amp;$R44&amp;$S44&amp;$T44&amp;$V44&amp;$W44&amp;$X44&amp;$Y44,2)-2^16),2,16),ABS(Q$3-16),1),""),".")</f>
        <v>1</v>
      </c>
      <c r="R45" s="16" t="str">
        <f aca="false">IF(R44&lt;&gt;".",IF($G$44=1,MID(_xlfn.BASE(ABS(_xlfn.DECIMAL($H44&amp;$I44&amp;$J44&amp;$L44&amp;$M44&amp;$N44&amp;$O44&amp;$Q44&amp;$R44&amp;$S44&amp;$T44&amp;$V44&amp;$W44&amp;$X44&amp;$Y44,2)-2^16),2,16),ABS(R$3-16),1),""),".")</f>
        <v>1</v>
      </c>
      <c r="S45" s="16" t="str">
        <f aca="false">IF(S44&lt;&gt;".",IF($G$44=1,MID(_xlfn.BASE(ABS(_xlfn.DECIMAL($H44&amp;$I44&amp;$J44&amp;$L44&amp;$M44&amp;$N44&amp;$O44&amp;$Q44&amp;$R44&amp;$S44&amp;$T44&amp;$V44&amp;$W44&amp;$X44&amp;$Y44,2)-2^16),2,16),ABS(S$3-16),1),""),".")</f>
        <v>1</v>
      </c>
      <c r="T45" s="16" t="str">
        <f aca="false">IF(T44&lt;&gt;".",IF($G$44=1,MID(_xlfn.BASE(ABS(_xlfn.DECIMAL($H44&amp;$I44&amp;$J44&amp;$L44&amp;$M44&amp;$N44&amp;$O44&amp;$Q44&amp;$R44&amp;$S44&amp;$T44&amp;$V44&amp;$W44&amp;$X44&amp;$Y44,2)-2^16),2,16),ABS(T$3-16),1),""),".")</f>
        <v>0</v>
      </c>
      <c r="U45" s="16" t="str">
        <f aca="false">IF(U44&lt;&gt;".",IF($G$44=1,MID(_xlfn.BASE(ABS(_xlfn.DECIMAL($H44&amp;$I44&amp;$J44&amp;$L44&amp;$M44&amp;$N44&amp;$O44&amp;$Q44&amp;$R44&amp;$S44&amp;$T44&amp;$V44&amp;$W44&amp;$X44&amp;$Y44,2)-2^16),2,16),ABS(U$3-16),1),""),".")</f>
        <v>.</v>
      </c>
      <c r="V45" s="16" t="str">
        <f aca="false">IF(V44&lt;&gt;".",IF($G$44=1,MID(_xlfn.BASE(ABS(_xlfn.DECIMAL($H44&amp;$I44&amp;$J44&amp;$L44&amp;$M44&amp;$N44&amp;$O44&amp;$Q44&amp;$R44&amp;$S44&amp;$T44&amp;$V44&amp;$W44&amp;$X44&amp;$Y44,2)-2^16),2,16),ABS(V$3-16),1),""),".")</f>
        <v>1</v>
      </c>
      <c r="W45" s="16" t="str">
        <f aca="false">IF(W44&lt;&gt;".",IF($G$44=1,MID(_xlfn.BASE(ABS(_xlfn.DECIMAL($H44&amp;$I44&amp;$J44&amp;$L44&amp;$M44&amp;$N44&amp;$O44&amp;$Q44&amp;$R44&amp;$S44&amp;$T44&amp;$V44&amp;$W44&amp;$X44&amp;$Y44,2)-2^16),2,16),ABS(W$3-16),1),""),".")</f>
        <v>1</v>
      </c>
      <c r="X45" s="16" t="str">
        <f aca="false">IF(X44&lt;&gt;".",IF($G$44=1,MID(_xlfn.BASE(ABS(_xlfn.DECIMAL($H44&amp;$I44&amp;$J44&amp;$L44&amp;$M44&amp;$N44&amp;$O44&amp;$Q44&amp;$R44&amp;$S44&amp;$T44&amp;$V44&amp;$W44&amp;$X44&amp;$Y44,2)-2^16),2,16),ABS(X$3-16),1),""),".")</f>
        <v>1</v>
      </c>
      <c r="Y45" s="16" t="str">
        <f aca="false">IF(Y44&lt;&gt;".",IF($G$44=1,MID(_xlfn.BASE(ABS(_xlfn.DECIMAL($H44&amp;$I44&amp;$J44&amp;$L44&amp;$M44&amp;$N44&amp;$O44&amp;$Q44&amp;$R44&amp;$S44&amp;$T44&amp;$V44&amp;$W44&amp;$X44&amp;$Y44,2)-2^16),2,16),ABS(Y$3-16),1),""),".")</f>
        <v>0</v>
      </c>
    </row>
    <row r="46" customFormat="false" ht="13.8" hidden="false" customHeight="false" outlineLevel="0" collapsed="false">
      <c r="G46" s="1" t="s">
        <v>52</v>
      </c>
      <c r="H46" s="27" t="n">
        <f aca="false">G41</f>
        <v>1</v>
      </c>
      <c r="J46" s="1" t="s">
        <v>53</v>
      </c>
      <c r="K46" s="27" t="n">
        <f aca="false">MOD(SUM(V44:Y44)+SUM(Q44:T44)+1,2)</f>
        <v>1</v>
      </c>
      <c r="M46" s="1" t="s">
        <v>54</v>
      </c>
      <c r="N46" s="27" t="n">
        <f aca="false">U41</f>
        <v>1</v>
      </c>
      <c r="P46" s="1" t="s">
        <v>55</v>
      </c>
      <c r="Q46" s="27" t="n">
        <f aca="false">IF(AA44=0,1,0)</f>
        <v>0</v>
      </c>
      <c r="S46" s="1" t="s">
        <v>56</v>
      </c>
      <c r="T46" s="27" t="n">
        <f aca="false">G44</f>
        <v>1</v>
      </c>
      <c r="V46" s="1" t="s">
        <v>57</v>
      </c>
      <c r="W46" s="27" t="n">
        <f aca="false">MOD(H41+G41,2)</f>
        <v>0</v>
      </c>
    </row>
    <row r="47" customFormat="false" ht="13.8" hidden="false" customHeight="false" outlineLevel="0" collapsed="false">
      <c r="H47" s="27"/>
    </row>
    <row r="49" customFormat="false" ht="13.8" hidden="false" customHeight="false" outlineLevel="0" collapsed="false">
      <c r="E49" s="1" t="s">
        <v>43</v>
      </c>
      <c r="G49" s="22" t="n">
        <f aca="false">IF(G50&lt;&gt;".",IF(G50+G51&lt;&gt;0,IF(G50+G51+H49=3,1,MOD(G50+G51+H49-1,2)),0),H49)</f>
        <v>1</v>
      </c>
      <c r="H49" s="22" t="n">
        <f aca="false">IF(H50&lt;&gt;".",IF(H50+H51&lt;&gt;0,IF(H50+H51+I49=3,1,MOD(H50+H51+I49-1,2)),0),I49)</f>
        <v>0</v>
      </c>
      <c r="I49" s="22" t="n">
        <f aca="false">IF(I50&lt;&gt;".",IF(I50+I51&lt;&gt;0,IF(I50+I51+J49=3,1,MOD(I50+I51+J49-1,2)),0),J49)</f>
        <v>0</v>
      </c>
      <c r="J49" s="22" t="n">
        <f aca="false">IF(J50&lt;&gt;".",IF(J50+J51&lt;&gt;0,IF(J50+J51+K49=3,1,MOD(J50+J51+K49-1,2)),0),K49)</f>
        <v>0</v>
      </c>
      <c r="K49" s="23" t="n">
        <f aca="false">IF(K50&lt;&gt;".",IF(K50+K51&lt;&gt;0,IF(K50+K51+L49=3,1,MOD(K50+K51+L49-1,2)),0),L49)</f>
        <v>1</v>
      </c>
      <c r="L49" s="22" t="n">
        <f aca="false">IF(L50&lt;&gt;".",IF(L50+L51&lt;&gt;0,IF(L50+L51+M49=3,1,MOD(L50+L51+M49-1,2)),0),M49)</f>
        <v>1</v>
      </c>
      <c r="M49" s="22" t="n">
        <f aca="false">IF(M50&lt;&gt;".",IF(M50+M51&lt;&gt;0,IF(M50+M51+N49=3,1,MOD(M50+M51+N49-1,2)),0),N49)</f>
        <v>0</v>
      </c>
      <c r="N49" s="22" t="n">
        <f aca="false">IF(N50&lt;&gt;".",IF(N50+N51&lt;&gt;0,IF(N50+N51+O49=3,1,MOD(N50+N51+O49-1,2)),0),O49)</f>
        <v>0</v>
      </c>
      <c r="O49" s="22" t="n">
        <f aca="false">IF(O50&lt;&gt;".",IF(O50+O51&lt;&gt;0,IF(O50+O51+P49=3,1,MOD(O50+O51+P49-1,2)),0),P49)</f>
        <v>0</v>
      </c>
      <c r="P49" s="23" t="n">
        <f aca="false">IF(P50&lt;&gt;".",IF(P50+P51&lt;&gt;0,IF(P50+P51+Q49=3,1,MOD(P50+P51+Q49-1,2)),0),Q49)</f>
        <v>0</v>
      </c>
      <c r="Q49" s="22" t="n">
        <f aca="false">IF(Q50&lt;&gt;".",IF(Q50+Q51&lt;&gt;0,IF(Q50+Q51+R49=3,1,MOD(Q50+Q51+R49-1,2)),0),R49)</f>
        <v>0</v>
      </c>
      <c r="R49" s="22" t="n">
        <f aca="false">IF(R50&lt;&gt;".",IF(R50+R51&lt;&gt;0,IF(R50+R51+S49=3,1,MOD(R50+R51+S49-1,2)),0),S49)</f>
        <v>0</v>
      </c>
      <c r="S49" s="22" t="n">
        <f aca="false">IF(S50&lt;&gt;".",IF(S50+S51&lt;&gt;0,IF(S50+S51+T49=3,1,MOD(S50+S51+T49-1,2)),0),T49)</f>
        <v>0</v>
      </c>
      <c r="T49" s="22" t="n">
        <f aca="false">IF(T50&lt;&gt;".",IF(T50+T51&lt;&gt;0,IF(T50+T51+U49=3,1,MOD(T50+T51+U49-1,2)),0),U49)</f>
        <v>0</v>
      </c>
      <c r="U49" s="23" t="n">
        <f aca="false">IF(U50&lt;&gt;".",IF(U50+U51&lt;&gt;0,IF(U50+U51+V49=3,1,MOD(U50+U51+V49-1,2)),0),V49)</f>
        <v>0</v>
      </c>
      <c r="V49" s="22" t="n">
        <f aca="false">IF(V50&lt;&gt;".",IF(V50+V51&lt;&gt;0,IF(V50+V51+W49=3,1,MOD(V50+V51+W49-1,2)),0),W49)</f>
        <v>0</v>
      </c>
      <c r="W49" s="22" t="n">
        <f aca="false">IF(W50&lt;&gt;".",IF(W50+W51&lt;&gt;0,IF(W50+W51+X49=3,1,MOD(W50+W51+X49-1,2)),0),X49)</f>
        <v>0</v>
      </c>
      <c r="X49" s="22" t="n">
        <f aca="false">IF(X50&lt;&gt;".",IF(X50+X51&lt;&gt;0,IF(X50+X51+Y49=3,1,MOD(X50+X51+Y49-1,2)),0),Y49)</f>
        <v>0</v>
      </c>
      <c r="Y49" s="22" t="n">
        <f aca="false">IF(Y50&lt;&gt;".",IF(Y50+Y51&lt;&gt;0,IF(Y50+Y51+Z49=3,1,MOD(Y50+Y51+Z49-1,2)),0),Z49)</f>
        <v>0</v>
      </c>
    </row>
    <row r="50" customFormat="false" ht="16.4" hidden="false" customHeight="false" outlineLevel="0" collapsed="false">
      <c r="E50" s="1" t="s">
        <v>62</v>
      </c>
      <c r="G50" s="16" t="str">
        <f aca="false">G11</f>
        <v>1</v>
      </c>
      <c r="H50" s="16" t="str">
        <f aca="false">H11</f>
        <v>1</v>
      </c>
      <c r="I50" s="16" t="str">
        <f aca="false">I11</f>
        <v>0</v>
      </c>
      <c r="J50" s="16" t="str">
        <f aca="false">J11</f>
        <v>0</v>
      </c>
      <c r="K50" s="16" t="str">
        <f aca="false">K11</f>
        <v>.</v>
      </c>
      <c r="L50" s="16" t="str">
        <f aca="false">L11</f>
        <v>1</v>
      </c>
      <c r="M50" s="16" t="str">
        <f aca="false">M11</f>
        <v>0</v>
      </c>
      <c r="N50" s="16" t="str">
        <f aca="false">N11</f>
        <v>0</v>
      </c>
      <c r="O50" s="16" t="str">
        <f aca="false">O11</f>
        <v>0</v>
      </c>
      <c r="P50" s="16" t="str">
        <f aca="false">P11</f>
        <v>.</v>
      </c>
      <c r="Q50" s="16" t="str">
        <f aca="false">Q11</f>
        <v>1</v>
      </c>
      <c r="R50" s="16" t="str">
        <f aca="false">R11</f>
        <v>0</v>
      </c>
      <c r="S50" s="16" t="str">
        <f aca="false">S11</f>
        <v>0</v>
      </c>
      <c r="T50" s="16" t="str">
        <f aca="false">T11</f>
        <v>0</v>
      </c>
      <c r="U50" s="16" t="str">
        <f aca="false">U11</f>
        <v>.</v>
      </c>
      <c r="V50" s="16" t="str">
        <f aca="false">V11</f>
        <v>1</v>
      </c>
      <c r="W50" s="16" t="str">
        <f aca="false">W11</f>
        <v>0</v>
      </c>
      <c r="X50" s="16" t="str">
        <f aca="false">X11</f>
        <v>0</v>
      </c>
      <c r="Y50" s="16" t="str">
        <f aca="false">Y11</f>
        <v>0</v>
      </c>
      <c r="AC50" s="1" t="s">
        <v>63</v>
      </c>
      <c r="AD50" s="1" t="n">
        <f aca="false">C11</f>
        <v>-14200</v>
      </c>
    </row>
    <row r="51" customFormat="false" ht="16.4" hidden="false" customHeight="false" outlineLevel="0" collapsed="false">
      <c r="D51" s="15" t="s">
        <v>46</v>
      </c>
      <c r="E51" s="1" t="s">
        <v>64</v>
      </c>
      <c r="G51" s="20" t="str">
        <f aca="false">G12</f>
        <v>1</v>
      </c>
      <c r="H51" s="20" t="str">
        <f aca="false">H12</f>
        <v>0</v>
      </c>
      <c r="I51" s="20" t="str">
        <f aca="false">I12</f>
        <v>1</v>
      </c>
      <c r="J51" s="20" t="str">
        <f aca="false">J12</f>
        <v>0</v>
      </c>
      <c r="K51" s="20" t="str">
        <f aca="false">K12</f>
        <v>.</v>
      </c>
      <c r="L51" s="20" t="str">
        <f aca="false">L12</f>
        <v>1</v>
      </c>
      <c r="M51" s="20" t="str">
        <f aca="false">M12</f>
        <v>1</v>
      </c>
      <c r="N51" s="20" t="str">
        <f aca="false">N12</f>
        <v>1</v>
      </c>
      <c r="O51" s="20" t="str">
        <f aca="false">O12</f>
        <v>1</v>
      </c>
      <c r="P51" s="20" t="str">
        <f aca="false">P12</f>
        <v>.</v>
      </c>
      <c r="Q51" s="20" t="str">
        <f aca="false">Q12</f>
        <v>0</v>
      </c>
      <c r="R51" s="20" t="str">
        <f aca="false">R12</f>
        <v>0</v>
      </c>
      <c r="S51" s="20" t="str">
        <f aca="false">S12</f>
        <v>0</v>
      </c>
      <c r="T51" s="20" t="str">
        <f aca="false">T12</f>
        <v>1</v>
      </c>
      <c r="U51" s="20" t="str">
        <f aca="false">U12</f>
        <v>.</v>
      </c>
      <c r="V51" s="20" t="str">
        <f aca="false">V12</f>
        <v>0</v>
      </c>
      <c r="W51" s="20" t="str">
        <f aca="false">W12</f>
        <v>0</v>
      </c>
      <c r="X51" s="20" t="str">
        <f aca="false">X12</f>
        <v>1</v>
      </c>
      <c r="Y51" s="20" t="str">
        <f aca="false">Y12</f>
        <v>0</v>
      </c>
      <c r="AB51" s="15" t="s">
        <v>46</v>
      </c>
      <c r="AC51" s="25" t="s">
        <v>65</v>
      </c>
      <c r="AD51" s="25" t="n">
        <f aca="false">C12</f>
        <v>-20718</v>
      </c>
      <c r="AG51" s="1" t="str">
        <f aca="false">IF(W54=0,IF(AND(AA52=AD52,H54=0),$AG$2,$AG$4),IF(G52=0,$AG$5,$AG$3))</f>
        <v>При сложении отрицательных чисел получен положительный результат ПЕРЕПОЛНЕНИЕ!</v>
      </c>
    </row>
    <row r="52" customFormat="false" ht="16.4" hidden="false" customHeight="false" outlineLevel="0" collapsed="false">
      <c r="G52" s="16" t="n">
        <f aca="false">IF(G50&lt;&gt;".",MOD(H49+G50+G51,2),".")</f>
        <v>0</v>
      </c>
      <c r="H52" s="16" t="n">
        <f aca="false">IF(H50&lt;&gt;".",MOD(I49+H50+H51,2),".")</f>
        <v>1</v>
      </c>
      <c r="I52" s="16" t="n">
        <f aca="false">IF(I50&lt;&gt;".",MOD(J49+I50+I51,2),".")</f>
        <v>1</v>
      </c>
      <c r="J52" s="16" t="n">
        <f aca="false">IF(J50&lt;&gt;".",MOD(K49+J50+J51,2),".")</f>
        <v>1</v>
      </c>
      <c r="K52" s="16" t="str">
        <f aca="false">IF(K50&lt;&gt;".",MOD(L49+K50+K51,2),".")</f>
        <v>.</v>
      </c>
      <c r="L52" s="16" t="n">
        <f aca="false">IF(L50&lt;&gt;".",MOD(M49+L50+L51,2),".")</f>
        <v>0</v>
      </c>
      <c r="M52" s="16" t="n">
        <f aca="false">IF(M50&lt;&gt;".",MOD(N49+M50+M51,2),".")</f>
        <v>1</v>
      </c>
      <c r="N52" s="16" t="n">
        <f aca="false">IF(N50&lt;&gt;".",MOD(O49+N50+N51,2),".")</f>
        <v>1</v>
      </c>
      <c r="O52" s="16" t="n">
        <f aca="false">IF(O50&lt;&gt;".",MOD(P49+O50+O51,2),".")</f>
        <v>1</v>
      </c>
      <c r="P52" s="16" t="str">
        <f aca="false">IF(P50&lt;&gt;".",MOD(Q49+P50+P51,2),".")</f>
        <v>.</v>
      </c>
      <c r="Q52" s="16" t="n">
        <f aca="false">IF(Q50&lt;&gt;".",MOD(R49+Q50+Q51,2),".")</f>
        <v>1</v>
      </c>
      <c r="R52" s="16" t="n">
        <f aca="false">IF(R50&lt;&gt;".",MOD(S49+R50+R51,2),".")</f>
        <v>0</v>
      </c>
      <c r="S52" s="16" t="n">
        <f aca="false">IF(S50&lt;&gt;".",MOD(T49+S50+S51,2),".")</f>
        <v>0</v>
      </c>
      <c r="T52" s="16" t="n">
        <f aca="false">IF(T50&lt;&gt;".",MOD(U49+T50+T51,2),".")</f>
        <v>1</v>
      </c>
      <c r="U52" s="16" t="str">
        <f aca="false">IF(U50&lt;&gt;".",MOD(V49+U50+U51,2),".")</f>
        <v>.</v>
      </c>
      <c r="V52" s="16" t="n">
        <f aca="false">IF(V50&lt;&gt;".",MOD(W49+V50+V51,2),".")</f>
        <v>1</v>
      </c>
      <c r="W52" s="16" t="n">
        <f aca="false">IF(W50&lt;&gt;".",MOD(X49+W50+W51,2),".")</f>
        <v>0</v>
      </c>
      <c r="X52" s="16" t="n">
        <f aca="false">IF(X50&lt;&gt;".",MOD(Y49+X50+X51,2),".")</f>
        <v>1</v>
      </c>
      <c r="Y52" s="16" t="n">
        <f aca="false">IF(Y50&lt;&gt;".",MOD(Z49+Y50+Y51,2),".")</f>
        <v>0</v>
      </c>
      <c r="Z52" s="26" t="s">
        <v>49</v>
      </c>
      <c r="AA52" s="15" t="n">
        <f aca="false"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30618</v>
      </c>
      <c r="AB52" s="26" t="s">
        <v>50</v>
      </c>
      <c r="AD52" s="1" t="n">
        <f aca="false">AD50+AD51</f>
        <v>-34918</v>
      </c>
    </row>
    <row r="53" customFormat="false" ht="13.8" hidden="false" customHeight="false" outlineLevel="0" collapsed="false">
      <c r="E53" s="1" t="s">
        <v>51</v>
      </c>
      <c r="G53" s="16" t="str">
        <f aca="false">IF(G52=0,"",1)</f>
        <v/>
      </c>
      <c r="H53" s="16" t="str">
        <f aca="false"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16" t="str">
        <f aca="false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16" t="str">
        <f aca="false">IF(J52&lt;&gt;".",IF($G$52=1,MID(_xlfn.BASE(ABS(_xlfn.DECIMAL($H52&amp;$I52&amp;$J52&amp;$L52&amp;$M52&amp;$N52&amp;$O52&amp;$Q52&amp;$R52&amp;$S52&amp;$T52&amp;$V52&amp;$W52&amp;$X52&amp;$Y52,2)-2^16),2,16),ABS(J$3-16),1),""),".")</f>
        <v/>
      </c>
      <c r="K53" s="16" t="str">
        <f aca="false">IF(K52&lt;&gt;".",IF($G$52=1,MID(_xlfn.BASE(ABS(_xlfn.DECIMAL($H52&amp;$I52&amp;$J52&amp;$L52&amp;$M52&amp;$N52&amp;$O52&amp;$Q52&amp;$R52&amp;$S52&amp;$T52&amp;$V52&amp;$W52&amp;$X52&amp;$Y52,2)-2^16),2,16),ABS(K$3-16),1),""),".")</f>
        <v>.</v>
      </c>
      <c r="L53" s="16" t="str">
        <f aca="false">IF(L52&lt;&gt;".",IF($G$52=1,MID(_xlfn.BASE(ABS(_xlfn.DECIMAL($H52&amp;$I52&amp;$J52&amp;$L52&amp;$M52&amp;$N52&amp;$O52&amp;$Q52&amp;$R52&amp;$S52&amp;$T52&amp;$V52&amp;$W52&amp;$X52&amp;$Y52,2)-2^16),2,16),ABS(L$3-16),1),""),".")</f>
        <v/>
      </c>
      <c r="M53" s="16" t="str">
        <f aca="false">IF(M52&lt;&gt;".",IF($G$52=1,MID(_xlfn.BASE(ABS(_xlfn.DECIMAL($H52&amp;$I52&amp;$J52&amp;$L52&amp;$M52&amp;$N52&amp;$O52&amp;$Q52&amp;$R52&amp;$S52&amp;$T52&amp;$V52&amp;$W52&amp;$X52&amp;$Y52,2)-2^16),2,16),ABS(M$3-16),1),""),".")</f>
        <v/>
      </c>
      <c r="N53" s="16" t="str">
        <f aca="false">IF(N52&lt;&gt;".",IF($G$52=1,MID(_xlfn.BASE(ABS(_xlfn.DECIMAL($H52&amp;$I52&amp;$J52&amp;$L52&amp;$M52&amp;$N52&amp;$O52&amp;$Q52&amp;$R52&amp;$S52&amp;$T52&amp;$V52&amp;$W52&amp;$X52&amp;$Y52,2)-2^16),2,16),ABS(N$3-16),1),""),".")</f>
        <v/>
      </c>
      <c r="O53" s="16" t="str">
        <f aca="false">IF(O52&lt;&gt;".",IF($G$52=1,MID(_xlfn.BASE(ABS(_xlfn.DECIMAL($H52&amp;$I52&amp;$J52&amp;$L52&amp;$M52&amp;$N52&amp;$O52&amp;$Q52&amp;$R52&amp;$S52&amp;$T52&amp;$V52&amp;$W52&amp;$X52&amp;$Y52,2)-2^16),2,16),ABS(O$3-16),1),""),".")</f>
        <v/>
      </c>
      <c r="P53" s="16" t="str">
        <f aca="false">IF(P52&lt;&gt;".",IF($G$52=1,MID(_xlfn.BASE(ABS(_xlfn.DECIMAL($H52&amp;$I52&amp;$J52&amp;$L52&amp;$M52&amp;$N52&amp;$O52&amp;$Q52&amp;$R52&amp;$S52&amp;$T52&amp;$V52&amp;$W52&amp;$X52&amp;$Y52,2)-2^16),2,16),ABS(P$3-16),1),""),".")</f>
        <v>.</v>
      </c>
      <c r="Q53" s="16" t="str">
        <f aca="false">IF(Q52&lt;&gt;".",IF($G$52=1,MID(_xlfn.BASE(ABS(_xlfn.DECIMAL($H52&amp;$I52&amp;$J52&amp;$L52&amp;$M52&amp;$N52&amp;$O52&amp;$Q52&amp;$R52&amp;$S52&amp;$T52&amp;$V52&amp;$W52&amp;$X52&amp;$Y52,2)-2^16),2,16),ABS(Q$3-16),1),""),".")</f>
        <v/>
      </c>
      <c r="R53" s="16" t="str">
        <f aca="false">IF(R52&lt;&gt;".",IF($G$52=1,MID(_xlfn.BASE(ABS(_xlfn.DECIMAL($H52&amp;$I52&amp;$J52&amp;$L52&amp;$M52&amp;$N52&amp;$O52&amp;$Q52&amp;$R52&amp;$S52&amp;$T52&amp;$V52&amp;$W52&amp;$X52&amp;$Y52,2)-2^16),2,16),ABS(R$3-16),1),""),".")</f>
        <v/>
      </c>
      <c r="S53" s="16" t="str">
        <f aca="false">IF(S52&lt;&gt;".",IF($G$52=1,MID(_xlfn.BASE(ABS(_xlfn.DECIMAL($H52&amp;$I52&amp;$J52&amp;$L52&amp;$M52&amp;$N52&amp;$O52&amp;$Q52&amp;$R52&amp;$S52&amp;$T52&amp;$V52&amp;$W52&amp;$X52&amp;$Y52,2)-2^16),2,16),ABS(S$3-16),1),""),".")</f>
        <v/>
      </c>
      <c r="T53" s="16" t="str">
        <f aca="false">IF(T52&lt;&gt;".",IF($G$52=1,MID(_xlfn.BASE(ABS(_xlfn.DECIMAL($H52&amp;$I52&amp;$J52&amp;$L52&amp;$M52&amp;$N52&amp;$O52&amp;$Q52&amp;$R52&amp;$S52&amp;$T52&amp;$V52&amp;$W52&amp;$X52&amp;$Y52,2)-2^16),2,16),ABS(T$3-16),1),""),".")</f>
        <v/>
      </c>
      <c r="U53" s="16" t="str">
        <f aca="false">IF(U52&lt;&gt;".",IF($G$52=1,MID(_xlfn.BASE(ABS(_xlfn.DECIMAL($H52&amp;$I52&amp;$J52&amp;$L52&amp;$M52&amp;$N52&amp;$O52&amp;$Q52&amp;$R52&amp;$S52&amp;$T52&amp;$V52&amp;$W52&amp;$X52&amp;$Y52,2)-2^16),2,16),ABS(U$3-16),1),""),".")</f>
        <v>.</v>
      </c>
      <c r="V53" s="16" t="str">
        <f aca="false">IF(V52&lt;&gt;".",IF($G$52=1,MID(_xlfn.BASE(ABS(_xlfn.DECIMAL($H52&amp;$I52&amp;$J52&amp;$L52&amp;$M52&amp;$N52&amp;$O52&amp;$Q52&amp;$R52&amp;$S52&amp;$T52&amp;$V52&amp;$W52&amp;$X52&amp;$Y52,2)-2^16),2,16),ABS(V$3-16),1),""),".")</f>
        <v/>
      </c>
      <c r="W53" s="16" t="str">
        <f aca="false">IF(W52&lt;&gt;".",IF($G$52=1,MID(_xlfn.BASE(ABS(_xlfn.DECIMAL($H52&amp;$I52&amp;$J52&amp;$L52&amp;$M52&amp;$N52&amp;$O52&amp;$Q52&amp;$R52&amp;$S52&amp;$T52&amp;$V52&amp;$W52&amp;$X52&amp;$Y52,2)-2^16),2,16),ABS(W$3-16),1),""),".")</f>
        <v/>
      </c>
      <c r="X53" s="16" t="str">
        <f aca="false">IF(X52&lt;&gt;".",IF($G$52=1,MID(_xlfn.BASE(ABS(_xlfn.DECIMAL($H52&amp;$I52&amp;$J52&amp;$L52&amp;$M52&amp;$N52&amp;$O52&amp;$Q52&amp;$R52&amp;$S52&amp;$T52&amp;$V52&amp;$W52&amp;$X52&amp;$Y52,2)-2^16),2,16),ABS(X$3-16),1),""),".")</f>
        <v/>
      </c>
      <c r="Y53" s="16" t="str">
        <f aca="false">IF(Y52&lt;&gt;".",IF($G$52=1,MID(_xlfn.BASE(ABS(_xlfn.DECIMAL($H52&amp;$I52&amp;$J52&amp;$L52&amp;$M52&amp;$N52&amp;$O52&amp;$Q52&amp;$R52&amp;$S52&amp;$T52&amp;$V52&amp;$W52&amp;$X52&amp;$Y52,2)-2^16),2,16),ABS(Y$3-16),1),""),".")</f>
        <v/>
      </c>
    </row>
    <row r="54" customFormat="false" ht="13.8" hidden="false" customHeight="false" outlineLevel="0" collapsed="false">
      <c r="G54" s="1" t="s">
        <v>52</v>
      </c>
      <c r="H54" s="27" t="n">
        <f aca="false">G49</f>
        <v>1</v>
      </c>
      <c r="J54" s="1" t="s">
        <v>53</v>
      </c>
      <c r="K54" s="27" t="n">
        <f aca="false">MOD(SUM(V52:Y52)+SUM(Q52:T52)+1,2)</f>
        <v>1</v>
      </c>
      <c r="M54" s="1" t="s">
        <v>54</v>
      </c>
      <c r="N54" s="27" t="n">
        <f aca="false">U49</f>
        <v>0</v>
      </c>
      <c r="P54" s="1" t="s">
        <v>55</v>
      </c>
      <c r="Q54" s="27" t="n">
        <f aca="false">IF(AA52=0,1,0)</f>
        <v>0</v>
      </c>
      <c r="S54" s="1" t="s">
        <v>56</v>
      </c>
      <c r="T54" s="27" t="n">
        <f aca="false">G52</f>
        <v>0</v>
      </c>
      <c r="V54" s="1" t="s">
        <v>57</v>
      </c>
      <c r="W54" s="27" t="n">
        <f aca="false">MOD(H49+G49,2)</f>
        <v>1</v>
      </c>
    </row>
    <row r="57" customFormat="false" ht="13.8" hidden="false" customHeight="false" outlineLevel="0" collapsed="false">
      <c r="E57" s="1" t="s">
        <v>43</v>
      </c>
      <c r="G57" s="22" t="n">
        <f aca="false">IF(G58&lt;&gt;".",IF(G58+G59&lt;&gt;0,IF(G58+G59+H57=3,1,MOD(G58+G59+H57-1,2)),0),H57)</f>
        <v>0</v>
      </c>
      <c r="H57" s="22" t="n">
        <f aca="false">IF(H58&lt;&gt;".",IF(H58+H59&lt;&gt;0,IF(H58+H59+I57=3,1,MOD(H58+H59+I57-1,2)),0),I57)</f>
        <v>0</v>
      </c>
      <c r="I57" s="22" t="n">
        <f aca="false">IF(I58&lt;&gt;".",IF(I58+I59&lt;&gt;0,IF(I58+I59+J57=3,1,MOD(I58+I59+J57-1,2)),0),J57)</f>
        <v>0</v>
      </c>
      <c r="J57" s="22" t="n">
        <f aca="false">IF(J58&lt;&gt;".",IF(J58+J59&lt;&gt;0,IF(J58+J59+K57=3,1,MOD(J58+J59+K57-1,2)),0),K57)</f>
        <v>1</v>
      </c>
      <c r="K57" s="23" t="n">
        <f aca="false">IF(K58&lt;&gt;".",IF(K58+K59&lt;&gt;0,IF(K58+K59+L57=3,1,MOD(K58+K59+L57-1,2)),0),L57)</f>
        <v>1</v>
      </c>
      <c r="L57" s="22" t="n">
        <f aca="false">IF(L58&lt;&gt;".",IF(L58+L59&lt;&gt;0,IF(L58+L59+M57=3,1,MOD(L58+L59+M57-1,2)),0),M57)</f>
        <v>1</v>
      </c>
      <c r="M57" s="22" t="n">
        <f aca="false">IF(M58&lt;&gt;".",IF(M58+M59&lt;&gt;0,IF(M58+M59+N57=3,1,MOD(M58+M59+N57-1,2)),0),N57)</f>
        <v>0</v>
      </c>
      <c r="N57" s="22" t="n">
        <f aca="false">IF(N58&lt;&gt;".",IF(N58+N59&lt;&gt;0,IF(N58+N59+O57=3,1,MOD(N58+N59+O57-1,2)),0),O57)</f>
        <v>0</v>
      </c>
      <c r="O57" s="22" t="n">
        <f aca="false">IF(O58&lt;&gt;".",IF(O58+O59&lt;&gt;0,IF(O58+O59+P57=3,1,MOD(O58+O59+P57-1,2)),0),P57)</f>
        <v>0</v>
      </c>
      <c r="P57" s="23" t="n">
        <f aca="false">IF(P58&lt;&gt;".",IF(P58+P59&lt;&gt;0,IF(P58+P59+Q57=3,1,MOD(P58+P59+Q57-1,2)),0),Q57)</f>
        <v>0</v>
      </c>
      <c r="Q57" s="22" t="n">
        <f aca="false">IF(Q58&lt;&gt;".",IF(Q58+Q59&lt;&gt;0,IF(Q58+Q59+R57=3,1,MOD(Q58+Q59+R57-1,2)),0),R57)</f>
        <v>0</v>
      </c>
      <c r="R57" s="22" t="n">
        <f aca="false">IF(R58&lt;&gt;".",IF(R58+R59&lt;&gt;0,IF(R58+R59+S57=3,1,MOD(R58+R59+S57-1,2)),0),S57)</f>
        <v>0</v>
      </c>
      <c r="S57" s="22" t="n">
        <f aca="false">IF(S58&lt;&gt;".",IF(S58+S59&lt;&gt;0,IF(S58+S59+T57=3,1,MOD(S58+S59+T57-1,2)),0),T57)</f>
        <v>0</v>
      </c>
      <c r="T57" s="22" t="n">
        <f aca="false">IF(T58&lt;&gt;".",IF(T58+T59&lt;&gt;0,IF(T58+T59+U57=3,1,MOD(T58+T59+U57-1,2)),0),U57)</f>
        <v>0</v>
      </c>
      <c r="U57" s="23" t="n">
        <f aca="false">IF(U58&lt;&gt;".",IF(U58+U59&lt;&gt;0,IF(U58+U59+V57=3,1,MOD(U58+U59+V57-1,2)),0),V57)</f>
        <v>0</v>
      </c>
      <c r="V57" s="22" t="n">
        <f aca="false">IF(V58&lt;&gt;".",IF(V58+V59&lt;&gt;0,IF(V58+V59+W57=3,1,MOD(V58+V59+W57-1,2)),0),W57)</f>
        <v>0</v>
      </c>
      <c r="W57" s="22" t="n">
        <f aca="false">IF(W58&lt;&gt;".",IF(W58+W59&lt;&gt;0,IF(W58+W59+X57=3,1,MOD(W58+W59+X57-1,2)),0),X57)</f>
        <v>0</v>
      </c>
      <c r="X57" s="22" t="n">
        <f aca="false">IF(X58&lt;&gt;".",IF(X58+X59&lt;&gt;0,IF(X58+X59+Y57=3,1,MOD(X58+X59+Y57-1,2)),0),Y57)</f>
        <v>0</v>
      </c>
      <c r="Y57" s="22" t="n">
        <f aca="false">IF(Y58&lt;&gt;".",IF(Y58+Y59&lt;&gt;0,IF(Y58+Y59+Z57=3,1,MOD(Y58+Y59+Z57-1,2)),0),Z57)</f>
        <v>0</v>
      </c>
    </row>
    <row r="58" customFormat="false" ht="16.4" hidden="false" customHeight="false" outlineLevel="0" collapsed="false">
      <c r="E58" s="1" t="s">
        <v>44</v>
      </c>
      <c r="G58" s="16" t="str">
        <f aca="false">G4</f>
        <v>0</v>
      </c>
      <c r="H58" s="16" t="str">
        <f aca="false">H4</f>
        <v>0</v>
      </c>
      <c r="I58" s="16" t="str">
        <f aca="false">I4</f>
        <v>0</v>
      </c>
      <c r="J58" s="16" t="str">
        <f aca="false">J4</f>
        <v>1</v>
      </c>
      <c r="K58" s="16" t="str">
        <f aca="false">K4</f>
        <v>.</v>
      </c>
      <c r="L58" s="16" t="str">
        <f aca="false">L4</f>
        <v>1</v>
      </c>
      <c r="M58" s="16" t="str">
        <f aca="false">M4</f>
        <v>0</v>
      </c>
      <c r="N58" s="16" t="str">
        <f aca="false">N4</f>
        <v>0</v>
      </c>
      <c r="O58" s="16" t="str">
        <f aca="false">O4</f>
        <v>1</v>
      </c>
      <c r="P58" s="16" t="str">
        <f aca="false">P4</f>
        <v>.</v>
      </c>
      <c r="Q58" s="16" t="str">
        <f aca="false">Q4</f>
        <v>0</v>
      </c>
      <c r="R58" s="16" t="str">
        <f aca="false">R4</f>
        <v>1</v>
      </c>
      <c r="S58" s="16" t="str">
        <f aca="false">S4</f>
        <v>1</v>
      </c>
      <c r="T58" s="16" t="str">
        <f aca="false">T4</f>
        <v>1</v>
      </c>
      <c r="U58" s="16" t="str">
        <f aca="false">U4</f>
        <v>.</v>
      </c>
      <c r="V58" s="16" t="str">
        <f aca="false">V4</f>
        <v>0</v>
      </c>
      <c r="W58" s="16" t="str">
        <f aca="false">W4</f>
        <v>1</v>
      </c>
      <c r="X58" s="16" t="str">
        <f aca="false">X4</f>
        <v>1</v>
      </c>
      <c r="Y58" s="16" t="str">
        <f aca="false">Y4</f>
        <v>0</v>
      </c>
      <c r="AC58" s="1" t="s">
        <v>45</v>
      </c>
      <c r="AD58" s="1" t="n">
        <f aca="false">C4</f>
        <v>6518</v>
      </c>
    </row>
    <row r="59" customFormat="false" ht="16.4" hidden="false" customHeight="false" outlineLevel="0" collapsed="false">
      <c r="D59" s="15" t="s">
        <v>46</v>
      </c>
      <c r="E59" s="1" t="s">
        <v>62</v>
      </c>
      <c r="G59" s="20" t="str">
        <f aca="false">G11</f>
        <v>1</v>
      </c>
      <c r="H59" s="20" t="str">
        <f aca="false">H11</f>
        <v>1</v>
      </c>
      <c r="I59" s="20" t="str">
        <f aca="false">I11</f>
        <v>0</v>
      </c>
      <c r="J59" s="20" t="str">
        <f aca="false">J11</f>
        <v>0</v>
      </c>
      <c r="K59" s="20" t="str">
        <f aca="false">K11</f>
        <v>.</v>
      </c>
      <c r="L59" s="20" t="str">
        <f aca="false">L11</f>
        <v>1</v>
      </c>
      <c r="M59" s="20" t="str">
        <f aca="false">M11</f>
        <v>0</v>
      </c>
      <c r="N59" s="20" t="str">
        <f aca="false">N11</f>
        <v>0</v>
      </c>
      <c r="O59" s="20" t="str">
        <f aca="false">O11</f>
        <v>0</v>
      </c>
      <c r="P59" s="20" t="str">
        <f aca="false">P11</f>
        <v>.</v>
      </c>
      <c r="Q59" s="20" t="str">
        <f aca="false">Q11</f>
        <v>1</v>
      </c>
      <c r="R59" s="20" t="str">
        <f aca="false">R11</f>
        <v>0</v>
      </c>
      <c r="S59" s="20" t="str">
        <f aca="false">S11</f>
        <v>0</v>
      </c>
      <c r="T59" s="20" t="str">
        <f aca="false">T11</f>
        <v>0</v>
      </c>
      <c r="U59" s="20" t="str">
        <f aca="false">U11</f>
        <v>.</v>
      </c>
      <c r="V59" s="20" t="str">
        <f aca="false">V11</f>
        <v>1</v>
      </c>
      <c r="W59" s="20" t="str">
        <f aca="false">W11</f>
        <v>0</v>
      </c>
      <c r="X59" s="20" t="str">
        <f aca="false">X11</f>
        <v>0</v>
      </c>
      <c r="Y59" s="20" t="str">
        <f aca="false">Y11</f>
        <v>0</v>
      </c>
      <c r="AB59" s="15" t="s">
        <v>46</v>
      </c>
      <c r="AC59" s="25" t="s">
        <v>63</v>
      </c>
      <c r="AD59" s="25" t="n">
        <f aca="false">C11</f>
        <v>-14200</v>
      </c>
      <c r="AG59" s="1" t="str">
        <f aca="false">IF(W62=0,IF(AND(AA60=AD60,H62=0),$AG$2,$AG$4),IF(G60=0,$AG$5,$AG$3))</f>
        <v>Результат коррекный</v>
      </c>
    </row>
    <row r="60" customFormat="false" ht="16.4" hidden="false" customHeight="false" outlineLevel="0" collapsed="false">
      <c r="G60" s="16" t="n">
        <f aca="false">IF(G58&lt;&gt;".",MOD(H57+G58+G59,2),".")</f>
        <v>1</v>
      </c>
      <c r="H60" s="16" t="n">
        <f aca="false">IF(H58&lt;&gt;".",MOD(I57+H58+H59,2),".")</f>
        <v>1</v>
      </c>
      <c r="I60" s="16" t="n">
        <f aca="false">IF(I58&lt;&gt;".",MOD(J57+I58+I59,2),".")</f>
        <v>1</v>
      </c>
      <c r="J60" s="16" t="n">
        <f aca="false">IF(J58&lt;&gt;".",MOD(K57+J58+J59,2),".")</f>
        <v>0</v>
      </c>
      <c r="K60" s="16" t="str">
        <f aca="false">IF(K58&lt;&gt;".",MOD(L57+K58+K59,2),".")</f>
        <v>.</v>
      </c>
      <c r="L60" s="16" t="n">
        <f aca="false">IF(L58&lt;&gt;".",MOD(M57+L58+L59,2),".")</f>
        <v>0</v>
      </c>
      <c r="M60" s="16" t="n">
        <f aca="false">IF(M58&lt;&gt;".",MOD(N57+M58+M59,2),".")</f>
        <v>0</v>
      </c>
      <c r="N60" s="16" t="n">
        <f aca="false">IF(N58&lt;&gt;".",MOD(O57+N58+N59,2),".")</f>
        <v>0</v>
      </c>
      <c r="O60" s="16" t="n">
        <f aca="false">IF(O58&lt;&gt;".",MOD(P57+O58+O59,2),".")</f>
        <v>1</v>
      </c>
      <c r="P60" s="16" t="str">
        <f aca="false">IF(P58&lt;&gt;".",MOD(Q57+P58+P59,2),".")</f>
        <v>.</v>
      </c>
      <c r="Q60" s="16" t="n">
        <f aca="false">IF(Q58&lt;&gt;".",MOD(R57+Q58+Q59,2),".")</f>
        <v>1</v>
      </c>
      <c r="R60" s="16" t="n">
        <f aca="false">IF(R58&lt;&gt;".",MOD(S57+R58+R59,2),".")</f>
        <v>1</v>
      </c>
      <c r="S60" s="16" t="n">
        <f aca="false">IF(S58&lt;&gt;".",MOD(T57+S58+S59,2),".")</f>
        <v>1</v>
      </c>
      <c r="T60" s="16" t="n">
        <f aca="false">IF(T58&lt;&gt;".",MOD(U57+T58+T59,2),".")</f>
        <v>1</v>
      </c>
      <c r="U60" s="16" t="str">
        <f aca="false">IF(U58&lt;&gt;".",MOD(V57+U58+U59,2),".")</f>
        <v>.</v>
      </c>
      <c r="V60" s="16" t="n">
        <f aca="false">IF(V58&lt;&gt;".",MOD(W57+V58+V59,2),".")</f>
        <v>1</v>
      </c>
      <c r="W60" s="16" t="n">
        <f aca="false">IF(W58&lt;&gt;".",MOD(X57+W58+W59,2),".")</f>
        <v>1</v>
      </c>
      <c r="X60" s="16" t="n">
        <f aca="false">IF(X58&lt;&gt;".",MOD(Y57+X58+X59,2),".")</f>
        <v>1</v>
      </c>
      <c r="Y60" s="16" t="n">
        <f aca="false">IF(Y58&lt;&gt;".",MOD(Z57+Y58+Y59,2),".")</f>
        <v>0</v>
      </c>
      <c r="Z60" s="26" t="s">
        <v>49</v>
      </c>
      <c r="AA60" s="15" t="n">
        <f aca="false"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-7682</v>
      </c>
      <c r="AB60" s="26" t="s">
        <v>50</v>
      </c>
      <c r="AD60" s="1" t="n">
        <f aca="false">AD58+AD59</f>
        <v>-7682</v>
      </c>
    </row>
    <row r="61" customFormat="false" ht="13.8" hidden="false" customHeight="false" outlineLevel="0" collapsed="false">
      <c r="E61" s="1" t="s">
        <v>51</v>
      </c>
      <c r="G61" s="16" t="n">
        <f aca="false">IF(G60=0,"",1)</f>
        <v>1</v>
      </c>
      <c r="H61" s="16" t="str">
        <f aca="false">IF(H60&lt;&gt;".",IF($G$60=1,MID(_xlfn.BASE(ABS(_xlfn.DECIMAL($H60&amp;$I60&amp;$J60&amp;$L60&amp;$M60&amp;$N60&amp;$O60&amp;$Q60&amp;$R60&amp;$S60&amp;$T60&amp;$V60&amp;$W60&amp;$X60&amp;$Y60,2)-2^16),2,16),ABS(H$3-16),1),""),".")</f>
        <v>0</v>
      </c>
      <c r="I61" s="16" t="str">
        <f aca="false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16" t="str">
        <f aca="false">IF(J60&lt;&gt;".",IF($G$60=1,MID(_xlfn.BASE(ABS(_xlfn.DECIMAL($H60&amp;$I60&amp;$J60&amp;$L60&amp;$M60&amp;$N60&amp;$O60&amp;$Q60&amp;$R60&amp;$S60&amp;$T60&amp;$V60&amp;$W60&amp;$X60&amp;$Y60,2)-2^16),2,16),ABS(J$3-16),1),""),".")</f>
        <v>1</v>
      </c>
      <c r="K61" s="16" t="str">
        <f aca="false">IF(K60&lt;&gt;".",IF($G$60=1,MID(_xlfn.BASE(ABS(_xlfn.DECIMAL($H60&amp;$I60&amp;$J60&amp;$L60&amp;$M60&amp;$N60&amp;$O60&amp;$Q60&amp;$R60&amp;$S60&amp;$T60&amp;$V60&amp;$W60&amp;$X60&amp;$Y60,2)-2^16),2,16),ABS(K$3-16),1),""),".")</f>
        <v>.</v>
      </c>
      <c r="L61" s="16" t="str">
        <f aca="false">IF(L60&lt;&gt;".",IF($G$60=1,MID(_xlfn.BASE(ABS(_xlfn.DECIMAL($H60&amp;$I60&amp;$J60&amp;$L60&amp;$M60&amp;$N60&amp;$O60&amp;$Q60&amp;$R60&amp;$S60&amp;$T60&amp;$V60&amp;$W60&amp;$X60&amp;$Y60,2)-2^16),2,16),ABS(L$3-16),1),""),".")</f>
        <v>1</v>
      </c>
      <c r="M61" s="16" t="str">
        <f aca="false">IF(M60&lt;&gt;".",IF($G$60=1,MID(_xlfn.BASE(ABS(_xlfn.DECIMAL($H60&amp;$I60&amp;$J60&amp;$L60&amp;$M60&amp;$N60&amp;$O60&amp;$Q60&amp;$R60&amp;$S60&amp;$T60&amp;$V60&amp;$W60&amp;$X60&amp;$Y60,2)-2^16),2,16),ABS(M$3-16),1),""),".")</f>
        <v>1</v>
      </c>
      <c r="N61" s="16" t="str">
        <f aca="false">IF(N60&lt;&gt;".",IF($G$60=1,MID(_xlfn.BASE(ABS(_xlfn.DECIMAL($H60&amp;$I60&amp;$J60&amp;$L60&amp;$M60&amp;$N60&amp;$O60&amp;$Q60&amp;$R60&amp;$S60&amp;$T60&amp;$V60&amp;$W60&amp;$X60&amp;$Y60,2)-2^16),2,16),ABS(N$3-16),1),""),".")</f>
        <v>1</v>
      </c>
      <c r="O61" s="16" t="str">
        <f aca="false">IF(O60&lt;&gt;".",IF($G$60=1,MID(_xlfn.BASE(ABS(_xlfn.DECIMAL($H60&amp;$I60&amp;$J60&amp;$L60&amp;$M60&amp;$N60&amp;$O60&amp;$Q60&amp;$R60&amp;$S60&amp;$T60&amp;$V60&amp;$W60&amp;$X60&amp;$Y60,2)-2^16),2,16),ABS(O$3-16),1),""),".")</f>
        <v>0</v>
      </c>
      <c r="P61" s="16" t="str">
        <f aca="false">IF(P60&lt;&gt;".",IF($G$60=1,MID(_xlfn.BASE(ABS(_xlfn.DECIMAL($H60&amp;$I60&amp;$J60&amp;$L60&amp;$M60&amp;$N60&amp;$O60&amp;$Q60&amp;$R60&amp;$S60&amp;$T60&amp;$V60&amp;$W60&amp;$X60&amp;$Y60,2)-2^16),2,16),ABS(P$3-16),1),""),".")</f>
        <v>.</v>
      </c>
      <c r="Q61" s="16" t="str">
        <f aca="false">IF(Q60&lt;&gt;".",IF($G$60=1,MID(_xlfn.BASE(ABS(_xlfn.DECIMAL($H60&amp;$I60&amp;$J60&amp;$L60&amp;$M60&amp;$N60&amp;$O60&amp;$Q60&amp;$R60&amp;$S60&amp;$T60&amp;$V60&amp;$W60&amp;$X60&amp;$Y60,2)-2^16),2,16),ABS(Q$3-16),1),""),".")</f>
        <v>0</v>
      </c>
      <c r="R61" s="16" t="str">
        <f aca="false">IF(R60&lt;&gt;".",IF($G$60=1,MID(_xlfn.BASE(ABS(_xlfn.DECIMAL($H60&amp;$I60&amp;$J60&amp;$L60&amp;$M60&amp;$N60&amp;$O60&amp;$Q60&amp;$R60&amp;$S60&amp;$T60&amp;$V60&amp;$W60&amp;$X60&amp;$Y60,2)-2^16),2,16),ABS(R$3-16),1),""),".")</f>
        <v>0</v>
      </c>
      <c r="S61" s="16" t="str">
        <f aca="false">IF(S60&lt;&gt;".",IF($G$60=1,MID(_xlfn.BASE(ABS(_xlfn.DECIMAL($H60&amp;$I60&amp;$J60&amp;$L60&amp;$M60&amp;$N60&amp;$O60&amp;$Q60&amp;$R60&amp;$S60&amp;$T60&amp;$V60&amp;$W60&amp;$X60&amp;$Y60,2)-2^16),2,16),ABS(S$3-16),1),""),".")</f>
        <v>0</v>
      </c>
      <c r="T61" s="16" t="str">
        <f aca="false">IF(T60&lt;&gt;".",IF($G$60=1,MID(_xlfn.BASE(ABS(_xlfn.DECIMAL($H60&amp;$I60&amp;$J60&amp;$L60&amp;$M60&amp;$N60&amp;$O60&amp;$Q60&amp;$R60&amp;$S60&amp;$T60&amp;$V60&amp;$W60&amp;$X60&amp;$Y60,2)-2^16),2,16),ABS(T$3-16),1),""),".")</f>
        <v>0</v>
      </c>
      <c r="U61" s="16" t="str">
        <f aca="false">IF(U60&lt;&gt;".",IF($G$60=1,MID(_xlfn.BASE(ABS(_xlfn.DECIMAL($H60&amp;$I60&amp;$J60&amp;$L60&amp;$M60&amp;$N60&amp;$O60&amp;$Q60&amp;$R60&amp;$S60&amp;$T60&amp;$V60&amp;$W60&amp;$X60&amp;$Y60,2)-2^16),2,16),ABS(U$3-16),1),""),".")</f>
        <v>.</v>
      </c>
      <c r="V61" s="16" t="str">
        <f aca="false">IF(V60&lt;&gt;".",IF($G$60=1,MID(_xlfn.BASE(ABS(_xlfn.DECIMAL($H60&amp;$I60&amp;$J60&amp;$L60&amp;$M60&amp;$N60&amp;$O60&amp;$Q60&amp;$R60&amp;$S60&amp;$T60&amp;$V60&amp;$W60&amp;$X60&amp;$Y60,2)-2^16),2,16),ABS(V$3-16),1),""),".")</f>
        <v>0</v>
      </c>
      <c r="W61" s="16" t="str">
        <f aca="false">IF(W60&lt;&gt;".",IF($G$60=1,MID(_xlfn.BASE(ABS(_xlfn.DECIMAL($H60&amp;$I60&amp;$J60&amp;$L60&amp;$M60&amp;$N60&amp;$O60&amp;$Q60&amp;$R60&amp;$S60&amp;$T60&amp;$V60&amp;$W60&amp;$X60&amp;$Y60,2)-2^16),2,16),ABS(W$3-16),1),""),".")</f>
        <v>0</v>
      </c>
      <c r="X61" s="16" t="str">
        <f aca="false">IF(X60&lt;&gt;".",IF($G$60=1,MID(_xlfn.BASE(ABS(_xlfn.DECIMAL($H60&amp;$I60&amp;$J60&amp;$L60&amp;$M60&amp;$N60&amp;$O60&amp;$Q60&amp;$R60&amp;$S60&amp;$T60&amp;$V60&amp;$W60&amp;$X60&amp;$Y60,2)-2^16),2,16),ABS(X$3-16),1),""),".")</f>
        <v>1</v>
      </c>
      <c r="Y61" s="16" t="str">
        <f aca="false">IF(Y60&lt;&gt;".",IF($G$60=1,MID(_xlfn.BASE(ABS(_xlfn.DECIMAL($H60&amp;$I60&amp;$J60&amp;$L60&amp;$M60&amp;$N60&amp;$O60&amp;$Q60&amp;$R60&amp;$S60&amp;$T60&amp;$V60&amp;$W60&amp;$X60&amp;$Y60,2)-2^16),2,16),ABS(Y$3-16),1),""),".")</f>
        <v>0</v>
      </c>
    </row>
    <row r="62" customFormat="false" ht="13.8" hidden="false" customHeight="false" outlineLevel="0" collapsed="false">
      <c r="G62" s="1" t="s">
        <v>52</v>
      </c>
      <c r="H62" s="27" t="n">
        <f aca="false">G57</f>
        <v>0</v>
      </c>
      <c r="J62" s="1" t="s">
        <v>53</v>
      </c>
      <c r="K62" s="27" t="n">
        <f aca="false">MOD(SUM(V60:Y60)+SUM(Q60:T60)+1,2)</f>
        <v>0</v>
      </c>
      <c r="M62" s="1" t="s">
        <v>54</v>
      </c>
      <c r="N62" s="27" t="n">
        <f aca="false">U57</f>
        <v>0</v>
      </c>
      <c r="P62" s="1" t="s">
        <v>55</v>
      </c>
      <c r="Q62" s="27" t="n">
        <f aca="false">IF(AA60=0,1,0)</f>
        <v>0</v>
      </c>
      <c r="S62" s="1" t="s">
        <v>56</v>
      </c>
      <c r="T62" s="27" t="n">
        <f aca="false">G60</f>
        <v>1</v>
      </c>
      <c r="V62" s="1" t="s">
        <v>57</v>
      </c>
      <c r="W62" s="27" t="n">
        <f aca="false">MOD(H57+G57,2)</f>
        <v>0</v>
      </c>
    </row>
    <row r="65" customFormat="false" ht="13.8" hidden="false" customHeight="false" outlineLevel="0" collapsed="false">
      <c r="E65" s="1" t="s">
        <v>43</v>
      </c>
      <c r="G65" s="22" t="n">
        <f aca="false">IF(G66&lt;&gt;".",IF(G66+G67&lt;&gt;0,IF(G66+G67+H65=3,1,MOD(G66+G67+H65-1,2)),0),H65)</f>
        <v>1</v>
      </c>
      <c r="H65" s="22" t="n">
        <f aca="false">IF(H66&lt;&gt;".",IF(H66+H67&lt;&gt;0,IF(H66+H67+I65=3,1,MOD(H66+H67+I65-1,2)),0),I65)</f>
        <v>1</v>
      </c>
      <c r="I65" s="22" t="n">
        <f aca="false">IF(I66&lt;&gt;".",IF(I66+I67&lt;&gt;0,IF(I66+I67+J65=3,1,MOD(I66+I67+J65-1,2)),0),J65)</f>
        <v>0</v>
      </c>
      <c r="J65" s="22" t="n">
        <f aca="false">IF(J66&lt;&gt;".",IF(J66+J67&lt;&gt;0,IF(J66+J67+K65=3,1,MOD(J66+J67+K65-1,2)),0),K65)</f>
        <v>0</v>
      </c>
      <c r="K65" s="23" t="n">
        <f aca="false">IF(K66&lt;&gt;".",IF(K66+K67&lt;&gt;0,IF(K66+K67+L65=3,1,MOD(K66+K67+L65-1,2)),0),L65)</f>
        <v>0</v>
      </c>
      <c r="L65" s="22" t="n">
        <f aca="false">IF(L66&lt;&gt;".",IF(L66+L67&lt;&gt;0,IF(L66+L67+M65=3,1,MOD(L66+L67+M65-1,2)),0),M65)</f>
        <v>0</v>
      </c>
      <c r="M65" s="22" t="n">
        <f aca="false">IF(M66&lt;&gt;".",IF(M66+M67&lt;&gt;0,IF(M66+M67+N65=3,1,MOD(M66+M67+N65-1,2)),0),N65)</f>
        <v>0</v>
      </c>
      <c r="N65" s="22" t="n">
        <f aca="false">IF(N66&lt;&gt;".",IF(N66+N67&lt;&gt;0,IF(N66+N67+O65=3,1,MOD(N66+N67+O65-1,2)),0),O65)</f>
        <v>0</v>
      </c>
      <c r="O65" s="22" t="n">
        <f aca="false">IF(O66&lt;&gt;".",IF(O66+O67&lt;&gt;0,IF(O66+O67+P65=3,1,MOD(O66+O67+P65-1,2)),0),P65)</f>
        <v>1</v>
      </c>
      <c r="P65" s="23" t="n">
        <f aca="false">IF(P66&lt;&gt;".",IF(P66+P67&lt;&gt;0,IF(P66+P67+Q65=3,1,MOD(P66+P67+Q65-1,2)),0),Q65)</f>
        <v>1</v>
      </c>
      <c r="Q65" s="22" t="n">
        <f aca="false">IF(Q66&lt;&gt;".",IF(Q66+Q67&lt;&gt;0,IF(Q66+Q67+R65=3,1,MOD(Q66+Q67+R65-1,2)),0),R65)</f>
        <v>1</v>
      </c>
      <c r="R65" s="22" t="n">
        <f aca="false">IF(R66&lt;&gt;".",IF(R66+R67&lt;&gt;0,IF(R66+R67+S65=3,1,MOD(R66+R67+S65-1,2)),0),S65)</f>
        <v>1</v>
      </c>
      <c r="S65" s="22" t="n">
        <f aca="false">IF(S66&lt;&gt;".",IF(S66+S67&lt;&gt;0,IF(S66+S67+T65=3,1,MOD(S66+S67+T65-1,2)),0),T65)</f>
        <v>1</v>
      </c>
      <c r="T65" s="22" t="n">
        <f aca="false">IF(T66&lt;&gt;".",IF(T66+T67&lt;&gt;0,IF(T66+T67+U65=3,1,MOD(T66+T67+U65-1,2)),0),U65)</f>
        <v>1</v>
      </c>
      <c r="U65" s="23" t="n">
        <f aca="false">IF(U66&lt;&gt;".",IF(U66+U67&lt;&gt;0,IF(U66+U67+V65=3,1,MOD(U66+U67+V65-1,2)),0),V65)</f>
        <v>1</v>
      </c>
      <c r="V65" s="22" t="n">
        <f aca="false">IF(V66&lt;&gt;".",IF(V66+V67&lt;&gt;0,IF(V66+V67+W65=3,1,MOD(V66+V67+W65-1,2)),0),W65)</f>
        <v>1</v>
      </c>
      <c r="W65" s="22" t="n">
        <f aca="false">IF(W66&lt;&gt;".",IF(W66+W67&lt;&gt;0,IF(W66+W67+X65=3,1,MOD(W66+W67+X65-1,2)),0),X65)</f>
        <v>1</v>
      </c>
      <c r="X65" s="22" t="n">
        <f aca="false">IF(X66&lt;&gt;".",IF(X66+X67&lt;&gt;0,IF(X66+X67+Y65=3,1,MOD(X66+X67+Y65-1,2)),0),Y65)</f>
        <v>1</v>
      </c>
      <c r="Y65" s="22" t="n">
        <f aca="false">IF(Y66&lt;&gt;".",IF(Y66+Y67&lt;&gt;0,IF(Y66+Y67+Z65=3,1,MOD(Y66+Y67+Z65-1,2)),0),Z65)</f>
        <v>0</v>
      </c>
    </row>
    <row r="66" customFormat="false" ht="16.4" hidden="false" customHeight="false" outlineLevel="0" collapsed="false">
      <c r="E66" s="1" t="s">
        <v>66</v>
      </c>
      <c r="G66" s="16" t="str">
        <f aca="false">G14</f>
        <v>1</v>
      </c>
      <c r="H66" s="16" t="str">
        <f aca="false">H14</f>
        <v>1</v>
      </c>
      <c r="I66" s="16" t="str">
        <f aca="false">I14</f>
        <v>1</v>
      </c>
      <c r="J66" s="16" t="str">
        <f aca="false">J14</f>
        <v>0</v>
      </c>
      <c r="K66" s="16" t="str">
        <f aca="false">K14</f>
        <v>.</v>
      </c>
      <c r="L66" s="16" t="str">
        <f aca="false">L14</f>
        <v>0</v>
      </c>
      <c r="M66" s="16" t="str">
        <f aca="false">M14</f>
        <v>0</v>
      </c>
      <c r="N66" s="16" t="str">
        <f aca="false">N14</f>
        <v>0</v>
      </c>
      <c r="O66" s="16" t="str">
        <f aca="false">O14</f>
        <v>1</v>
      </c>
      <c r="P66" s="16" t="str">
        <f aca="false">P14</f>
        <v>.</v>
      </c>
      <c r="Q66" s="16" t="str">
        <f aca="false">Q14</f>
        <v>1</v>
      </c>
      <c r="R66" s="16" t="str">
        <f aca="false">R14</f>
        <v>1</v>
      </c>
      <c r="S66" s="16" t="str">
        <f aca="false">S14</f>
        <v>1</v>
      </c>
      <c r="T66" s="16" t="str">
        <f aca="false">T14</f>
        <v>1</v>
      </c>
      <c r="U66" s="16" t="str">
        <f aca="false">U14</f>
        <v>.</v>
      </c>
      <c r="V66" s="16" t="str">
        <f aca="false">V14</f>
        <v>1</v>
      </c>
      <c r="W66" s="16" t="str">
        <f aca="false">W14</f>
        <v>1</v>
      </c>
      <c r="X66" s="16" t="str">
        <f aca="false">X14</f>
        <v>1</v>
      </c>
      <c r="Y66" s="16" t="str">
        <f aca="false">Y14</f>
        <v>0</v>
      </c>
      <c r="AC66" s="1" t="s">
        <v>67</v>
      </c>
      <c r="AD66" s="1" t="n">
        <f aca="false">C14</f>
        <v>-7682</v>
      </c>
    </row>
    <row r="67" customFormat="false" ht="16.4" hidden="false" customHeight="false" outlineLevel="0" collapsed="false">
      <c r="D67" s="15" t="s">
        <v>46</v>
      </c>
      <c r="E67" s="1" t="s">
        <v>58</v>
      </c>
      <c r="G67" s="20" t="str">
        <f aca="false">G6</f>
        <v>0</v>
      </c>
      <c r="H67" s="20" t="str">
        <f aca="false">H6</f>
        <v>1</v>
      </c>
      <c r="I67" s="20" t="str">
        <f aca="false">I6</f>
        <v>0</v>
      </c>
      <c r="J67" s="20" t="str">
        <f aca="false">J6</f>
        <v>1</v>
      </c>
      <c r="K67" s="20" t="str">
        <f aca="false">K6</f>
        <v>.</v>
      </c>
      <c r="L67" s="20" t="str">
        <f aca="false">L6</f>
        <v>0</v>
      </c>
      <c r="M67" s="20" t="str">
        <f aca="false">M6</f>
        <v>0</v>
      </c>
      <c r="N67" s="20" t="str">
        <f aca="false">N6</f>
        <v>0</v>
      </c>
      <c r="O67" s="20" t="str">
        <f aca="false">O6</f>
        <v>0</v>
      </c>
      <c r="P67" s="20" t="str">
        <f aca="false">P6</f>
        <v>.</v>
      </c>
      <c r="Q67" s="20" t="str">
        <f aca="false">Q6</f>
        <v>1</v>
      </c>
      <c r="R67" s="20" t="str">
        <f aca="false">R6</f>
        <v>1</v>
      </c>
      <c r="S67" s="20" t="str">
        <f aca="false">S6</f>
        <v>1</v>
      </c>
      <c r="T67" s="20" t="str">
        <f aca="false">T6</f>
        <v>0</v>
      </c>
      <c r="U67" s="20" t="str">
        <f aca="false">U6</f>
        <v>.</v>
      </c>
      <c r="V67" s="20" t="str">
        <f aca="false">V6</f>
        <v>1</v>
      </c>
      <c r="W67" s="20" t="str">
        <f aca="false">W6</f>
        <v>1</v>
      </c>
      <c r="X67" s="20" t="str">
        <f aca="false">X6</f>
        <v>1</v>
      </c>
      <c r="Y67" s="20" t="str">
        <f aca="false">Y6</f>
        <v>0</v>
      </c>
      <c r="AB67" s="15" t="s">
        <v>46</v>
      </c>
      <c r="AC67" s="25" t="s">
        <v>59</v>
      </c>
      <c r="AD67" s="25" t="n">
        <f aca="false">C6</f>
        <v>20718</v>
      </c>
      <c r="AG67" s="1" t="str">
        <f aca="false">IF(W70=0,IF(AND(AA68=AD68,H70=0),$AG$2,$AG$4),IF(G68=0,$AG$5,$AG$3))</f>
        <v>Результат корректный. Перенос из старшего разряда не учитывается</v>
      </c>
    </row>
    <row r="68" customFormat="false" ht="16.4" hidden="false" customHeight="false" outlineLevel="0" collapsed="false">
      <c r="G68" s="16" t="n">
        <f aca="false">IF(G66&lt;&gt;".",MOD(H65+G66+G67,2),".")</f>
        <v>0</v>
      </c>
      <c r="H68" s="16" t="n">
        <f aca="false">IF(H66&lt;&gt;".",MOD(I65+H66+H67,2),".")</f>
        <v>0</v>
      </c>
      <c r="I68" s="16" t="n">
        <f aca="false">IF(I66&lt;&gt;".",MOD(J65+I66+I67,2),".")</f>
        <v>1</v>
      </c>
      <c r="J68" s="16" t="n">
        <f aca="false">IF(J66&lt;&gt;".",MOD(K65+J66+J67,2),".")</f>
        <v>1</v>
      </c>
      <c r="K68" s="16" t="str">
        <f aca="false">IF(K66&lt;&gt;".",MOD(L65+K66+K67,2),".")</f>
        <v>.</v>
      </c>
      <c r="L68" s="16" t="n">
        <f aca="false">IF(L66&lt;&gt;".",MOD(M65+L66+L67,2),".")</f>
        <v>0</v>
      </c>
      <c r="M68" s="16" t="n">
        <f aca="false">IF(M66&lt;&gt;".",MOD(N65+M66+M67,2),".")</f>
        <v>0</v>
      </c>
      <c r="N68" s="16" t="n">
        <f aca="false">IF(N66&lt;&gt;".",MOD(O65+N66+N67,2),".")</f>
        <v>1</v>
      </c>
      <c r="O68" s="16" t="n">
        <f aca="false">IF(O66&lt;&gt;".",MOD(P65+O66+O67,2),".")</f>
        <v>0</v>
      </c>
      <c r="P68" s="16" t="str">
        <f aca="false">IF(P66&lt;&gt;".",MOD(Q65+P66+P67,2),".")</f>
        <v>.</v>
      </c>
      <c r="Q68" s="16" t="n">
        <f aca="false">IF(Q66&lt;&gt;".",MOD(R65+Q66+Q67,2),".")</f>
        <v>1</v>
      </c>
      <c r="R68" s="16" t="n">
        <f aca="false">IF(R66&lt;&gt;".",MOD(S65+R66+R67,2),".")</f>
        <v>1</v>
      </c>
      <c r="S68" s="16" t="n">
        <f aca="false">IF(S66&lt;&gt;".",MOD(T65+S66+S67,2),".")</f>
        <v>1</v>
      </c>
      <c r="T68" s="16" t="n">
        <f aca="false">IF(T66&lt;&gt;".",MOD(U65+T66+T67,2),".")</f>
        <v>0</v>
      </c>
      <c r="U68" s="16" t="str">
        <f aca="false">IF(U66&lt;&gt;".",MOD(V65+U66+U67,2),".")</f>
        <v>.</v>
      </c>
      <c r="V68" s="16" t="n">
        <f aca="false">IF(V66&lt;&gt;".",MOD(W65+V66+V67,2),".")</f>
        <v>1</v>
      </c>
      <c r="W68" s="16" t="n">
        <f aca="false">IF(W66&lt;&gt;".",MOD(X65+W66+W67,2),".")</f>
        <v>1</v>
      </c>
      <c r="X68" s="16" t="n">
        <f aca="false">IF(X66&lt;&gt;".",MOD(Y65+X66+X67,2),".")</f>
        <v>0</v>
      </c>
      <c r="Y68" s="16" t="n">
        <f aca="false">IF(Y66&lt;&gt;".",MOD(Z65+Y66+Y67,2),".")</f>
        <v>0</v>
      </c>
      <c r="Z68" s="26" t="s">
        <v>49</v>
      </c>
      <c r="AA68" s="15" t="n">
        <f aca="false"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13036</v>
      </c>
      <c r="AB68" s="26" t="s">
        <v>50</v>
      </c>
      <c r="AD68" s="1" t="n">
        <f aca="false">AD66+AD67</f>
        <v>13036</v>
      </c>
    </row>
    <row r="69" customFormat="false" ht="13.8" hidden="false" customHeight="false" outlineLevel="0" collapsed="false">
      <c r="E69" s="1" t="s">
        <v>51</v>
      </c>
      <c r="G69" s="16" t="str">
        <f aca="false">IF(G68=0,"",1)</f>
        <v/>
      </c>
      <c r="H69" s="16" t="str">
        <f aca="false"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16" t="str">
        <f aca="false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16" t="str">
        <f aca="false">IF(J68&lt;&gt;".",IF($G$68=1,MID(_xlfn.BASE(ABS(_xlfn.DECIMAL($H68&amp;$I68&amp;$J68&amp;$L68&amp;$M68&amp;$N68&amp;$O68&amp;$Q68&amp;$R68&amp;$S68&amp;$T68&amp;$V68&amp;$W68&amp;$X68&amp;$Y68,2)-2^16),2,16),ABS(J$3-16),1),""),".")</f>
        <v/>
      </c>
      <c r="K69" s="16" t="str">
        <f aca="false">IF(K68&lt;&gt;".",IF($G$68=1,MID(_xlfn.BASE(ABS(_xlfn.DECIMAL($H68&amp;$I68&amp;$J68&amp;$L68&amp;$M68&amp;$N68&amp;$O68&amp;$Q68&amp;$R68&amp;$S68&amp;$T68&amp;$V68&amp;$W68&amp;$X68&amp;$Y68,2)-2^16),2,16),ABS(K$3-16),1),""),".")</f>
        <v>.</v>
      </c>
      <c r="L69" s="16" t="str">
        <f aca="false">IF(L68&lt;&gt;".",IF($G$68=1,MID(_xlfn.BASE(ABS(_xlfn.DECIMAL($H68&amp;$I68&amp;$J68&amp;$L68&amp;$M68&amp;$N68&amp;$O68&amp;$Q68&amp;$R68&amp;$S68&amp;$T68&amp;$V68&amp;$W68&amp;$X68&amp;$Y68,2)-2^16),2,16),ABS(L$3-16),1),""),".")</f>
        <v/>
      </c>
      <c r="M69" s="16" t="str">
        <f aca="false">IF(M68&lt;&gt;".",IF($G$68=1,MID(_xlfn.BASE(ABS(_xlfn.DECIMAL($H68&amp;$I68&amp;$J68&amp;$L68&amp;$M68&amp;$N68&amp;$O68&amp;$Q68&amp;$R68&amp;$S68&amp;$T68&amp;$V68&amp;$W68&amp;$X68&amp;$Y68,2)-2^16),2,16),ABS(M$3-16),1),""),".")</f>
        <v/>
      </c>
      <c r="N69" s="16" t="str">
        <f aca="false">IF(N68&lt;&gt;".",IF($G$68=1,MID(_xlfn.BASE(ABS(_xlfn.DECIMAL($H68&amp;$I68&amp;$J68&amp;$L68&amp;$M68&amp;$N68&amp;$O68&amp;$Q68&amp;$R68&amp;$S68&amp;$T68&amp;$V68&amp;$W68&amp;$X68&amp;$Y68,2)-2^16),2,16),ABS(N$3-16),1),""),".")</f>
        <v/>
      </c>
      <c r="O69" s="16" t="str">
        <f aca="false">IF(O68&lt;&gt;".",IF($G$68=1,MID(_xlfn.BASE(ABS(_xlfn.DECIMAL($H68&amp;$I68&amp;$J68&amp;$L68&amp;$M68&amp;$N68&amp;$O68&amp;$Q68&amp;$R68&amp;$S68&amp;$T68&amp;$V68&amp;$W68&amp;$X68&amp;$Y68,2)-2^16),2,16),ABS(O$3-16),1),""),".")</f>
        <v/>
      </c>
      <c r="P69" s="16" t="str">
        <f aca="false">IF(P68&lt;&gt;".",IF($G$68=1,MID(_xlfn.BASE(ABS(_xlfn.DECIMAL($H68&amp;$I68&amp;$J68&amp;$L68&amp;$M68&amp;$N68&amp;$O68&amp;$Q68&amp;$R68&amp;$S68&amp;$T68&amp;$V68&amp;$W68&amp;$X68&amp;$Y68,2)-2^16),2,16),ABS(P$3-16),1),""),".")</f>
        <v>.</v>
      </c>
      <c r="Q69" s="16" t="str">
        <f aca="false">IF(Q68&lt;&gt;".",IF($G$68=1,MID(_xlfn.BASE(ABS(_xlfn.DECIMAL($H68&amp;$I68&amp;$J68&amp;$L68&amp;$M68&amp;$N68&amp;$O68&amp;$Q68&amp;$R68&amp;$S68&amp;$T68&amp;$V68&amp;$W68&amp;$X68&amp;$Y68,2)-2^16),2,16),ABS(Q$3-16),1),""),".")</f>
        <v/>
      </c>
      <c r="R69" s="16" t="str">
        <f aca="false">IF(R68&lt;&gt;".",IF($G$68=1,MID(_xlfn.BASE(ABS(_xlfn.DECIMAL($H68&amp;$I68&amp;$J68&amp;$L68&amp;$M68&amp;$N68&amp;$O68&amp;$Q68&amp;$R68&amp;$S68&amp;$T68&amp;$V68&amp;$W68&amp;$X68&amp;$Y68,2)-2^16),2,16),ABS(R$3-16),1),""),".")</f>
        <v/>
      </c>
      <c r="S69" s="16" t="str">
        <f aca="false">IF(S68&lt;&gt;".",IF($G$68=1,MID(_xlfn.BASE(ABS(_xlfn.DECIMAL($H68&amp;$I68&amp;$J68&amp;$L68&amp;$M68&amp;$N68&amp;$O68&amp;$Q68&amp;$R68&amp;$S68&amp;$T68&amp;$V68&amp;$W68&amp;$X68&amp;$Y68,2)-2^16),2,16),ABS(S$3-16),1),""),".")</f>
        <v/>
      </c>
      <c r="T69" s="16" t="str">
        <f aca="false">IF(T68&lt;&gt;".",IF($G$68=1,MID(_xlfn.BASE(ABS(_xlfn.DECIMAL($H68&amp;$I68&amp;$J68&amp;$L68&amp;$M68&amp;$N68&amp;$O68&amp;$Q68&amp;$R68&amp;$S68&amp;$T68&amp;$V68&amp;$W68&amp;$X68&amp;$Y68,2)-2^16),2,16),ABS(T$3-16),1),""),".")</f>
        <v/>
      </c>
      <c r="U69" s="16" t="str">
        <f aca="false">IF(U68&lt;&gt;".",IF($G$68=1,MID(_xlfn.BASE(ABS(_xlfn.DECIMAL($H68&amp;$I68&amp;$J68&amp;$L68&amp;$M68&amp;$N68&amp;$O68&amp;$Q68&amp;$R68&amp;$S68&amp;$T68&amp;$V68&amp;$W68&amp;$X68&amp;$Y68,2)-2^16),2,16),ABS(U$3-16),1),""),".")</f>
        <v>.</v>
      </c>
      <c r="V69" s="16" t="str">
        <f aca="false">IF(V68&lt;&gt;".",IF($G$68=1,MID(_xlfn.BASE(ABS(_xlfn.DECIMAL($H68&amp;$I68&amp;$J68&amp;$L68&amp;$M68&amp;$N68&amp;$O68&amp;$Q68&amp;$R68&amp;$S68&amp;$T68&amp;$V68&amp;$W68&amp;$X68&amp;$Y68,2)-2^16),2,16),ABS(V$3-16),1),""),".")</f>
        <v/>
      </c>
      <c r="W69" s="16" t="str">
        <f aca="false">IF(W68&lt;&gt;".",IF($G$68=1,MID(_xlfn.BASE(ABS(_xlfn.DECIMAL($H68&amp;$I68&amp;$J68&amp;$L68&amp;$M68&amp;$N68&amp;$O68&amp;$Q68&amp;$R68&amp;$S68&amp;$T68&amp;$V68&amp;$W68&amp;$X68&amp;$Y68,2)-2^16),2,16),ABS(W$3-16),1),""),".")</f>
        <v/>
      </c>
      <c r="X69" s="16" t="str">
        <f aca="false">IF(X68&lt;&gt;".",IF($G$68=1,MID(_xlfn.BASE(ABS(_xlfn.DECIMAL($H68&amp;$I68&amp;$J68&amp;$L68&amp;$M68&amp;$N68&amp;$O68&amp;$Q68&amp;$R68&amp;$S68&amp;$T68&amp;$V68&amp;$W68&amp;$X68&amp;$Y68,2)-2^16),2,16),ABS(X$3-16),1),""),".")</f>
        <v/>
      </c>
      <c r="Y69" s="16" t="str">
        <f aca="false">IF(Y68&lt;&gt;".",IF($G$68=1,MID(_xlfn.BASE(ABS(_xlfn.DECIMAL($H68&amp;$I68&amp;$J68&amp;$L68&amp;$M68&amp;$N68&amp;$O68&amp;$Q68&amp;$R68&amp;$S68&amp;$T68&amp;$V68&amp;$W68&amp;$X68&amp;$Y68,2)-2^16),2,16),ABS(Y$3-16),1),""),".")</f>
        <v/>
      </c>
    </row>
    <row r="70" customFormat="false" ht="13.8" hidden="false" customHeight="false" outlineLevel="0" collapsed="false">
      <c r="G70" s="1" t="s">
        <v>52</v>
      </c>
      <c r="H70" s="27" t="n">
        <f aca="false">G65</f>
        <v>1</v>
      </c>
      <c r="J70" s="1" t="s">
        <v>53</v>
      </c>
      <c r="K70" s="27" t="n">
        <f aca="false">MOD(SUM(V68:Y68)+SUM(Q68:T68)+1,2)</f>
        <v>0</v>
      </c>
      <c r="M70" s="1" t="s">
        <v>54</v>
      </c>
      <c r="N70" s="27" t="n">
        <f aca="false">U65</f>
        <v>1</v>
      </c>
      <c r="P70" s="1" t="s">
        <v>55</v>
      </c>
      <c r="Q70" s="27" t="n">
        <f aca="false">IF(AA68=0,1,0)</f>
        <v>0</v>
      </c>
      <c r="S70" s="1" t="s">
        <v>56</v>
      </c>
      <c r="T70" s="27" t="n">
        <f aca="false">G68</f>
        <v>0</v>
      </c>
      <c r="V70" s="1" t="s">
        <v>57</v>
      </c>
      <c r="W70" s="27" t="n">
        <f aca="false">MOD(H65+G65,2)</f>
        <v>0</v>
      </c>
    </row>
  </sheetData>
  <conditionalFormatting sqref="G4:Y7">
    <cfRule type="containsText" priority="2" operator="containsText" aboveAverage="0" equalAverage="0" bottom="0" percent="0" rank="0" text="0" dxfId="0">
      <formula>NOT(ISERROR(SEARCH("0",G4)))</formula>
    </cfRule>
    <cfRule type="containsText" priority="3" operator="containsText" aboveAverage="0" equalAverage="0" bottom="0" percent="0" rank="0" text="1" dxfId="1">
      <formula>NOT(ISERROR(SEARCH("1",G4)))</formula>
    </cfRule>
  </conditionalFormatting>
  <printOptions headings="false" gridLines="false" gridLinesSet="true" horizontalCentered="false" verticalCentered="false"/>
  <pageMargins left="0.7" right="0.7" top="0.75" bottom="0.597222222222222" header="0.3" footer="0.3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&amp;CТимошкин Роман Вячеславович, Вариант 2, &amp;F</oddHeader>
    <oddFooter>&amp;C9:29, 11/11/2023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LibreOffice/7.6.2.1$Linux_X86_64 LibreOffice_project/60$Build-1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2021-11-22T11:23:00Z</dcterms:created>
  <dc:creator>Max Barsukov</dc:creator>
  <dc:description/>
  <dc:language>en-US</dc:language>
  <cp:lastModifiedBy/>
  <dcterms:modified xsi:type="dcterms:W3CDTF">2023-11-11T09:30:01Z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